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26892110854c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54af9c2d6174f4e"/>
    <x:sheet xmlns:r="http://schemas.openxmlformats.org/officeDocument/2006/relationships" name="Requirements" sheetId="2" r:id="R00d8b09933b5466f"/>
    <x:sheet xmlns:r="http://schemas.openxmlformats.org/officeDocument/2006/relationships" name="WBS_Gantt" sheetId="3" r:id="R232d8c346ce34532"/>
    <x:sheet xmlns:r="http://schemas.openxmlformats.org/officeDocument/2006/relationships" name="Risk_Register" sheetId="4" r:id="Rb339fe017f914f76"/>
    <x:sheet xmlns:r="http://schemas.openxmlformats.org/officeDocument/2006/relationships" name="Risk_Matrix" sheetId="5" r:id="Re676158bfc27454f"/>
    <x:sheet xmlns:r="http://schemas.openxmlformats.org/officeDocument/2006/relationships" name="Test_Cases" sheetId="6" r:id="R3b027766c9ce414d"/>
    <x:sheet xmlns:r="http://schemas.openxmlformats.org/officeDocument/2006/relationships" name="Traceability" sheetId="7" r:id="R98b0f3a92cc64f91"/>
    <x:sheet xmlns:r="http://schemas.openxmlformats.org/officeDocument/2006/relationships" name="Resources" sheetId="8" r:id="Ra99072fdb81c4874"/>
    <x:sheet xmlns:r="http://schemas.openxmlformats.org/officeDocument/2006/relationships" name="Artifact_Index" sheetId="9" r:id="R548a43ad3aa747c5"/>
    <x:sheet xmlns:r="http://schemas.openxmlformats.org/officeDocument/2006/relationships" name="Lists_References" sheetId="10" r:id="R5e2091b8f4f749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"/>
    <x:numFmt numFmtId="202" formatCode="0%"/>
    <x:numFmt numFmtId="203" formatCode="d"/>
  </x:numFmts>
  <x:fonts count="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11827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4"/>
      <x:name val="Carlito"/>
    </x:font>
    <x:font>
      <x:b/>
      <x:sz val="18"/>
      <x:color rgb="FFFFFFFF"/>
      <x:name val="Carlito"/>
    </x:font>
    <x:font>
      <x:b/>
      <x:sz val="12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0F766E"/>
      </x:patternFill>
    </x:fill>
    <x:fill>
      <x:patternFill patternType="solid">
        <x:fgColor rgb="FFE0F2FE"/>
      </x:patternFill>
    </x:fill>
    <x:fill>
      <x:patternFill patternType="solid">
        <x:fgColor rgb="FF1D4ED8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9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/>
    </x:xf>
    <x:xf numFmtId="0" fontId="2" fillId="5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200" fontId="5" fillId="4" borderId="0" xfId="0" applyNumberFormat="1" applyFont="1" applyFill="1" applyBorder="1" applyAlignment="1">
      <x:alignment wrapText="1"/>
    </x:xf>
    <x:xf numFmtId="200" fontId="5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203" fontId="2" fillId="5" borderId="0" xfId="0" applyNumberFormat="1" applyFont="1" applyFill="1" applyBorder="1"/>
    <x:xf numFmtId="203" fontId="2" fillId="5" borderId="0" xfId="0" applyNumberFormat="1" applyFont="1" applyFill="1" applyBorder="1" applyAlignment="1">
      <x:alignment horizontal="center"/>
    </x:xf>
    <x:xf numFmtId="203" fontId="2" fillId="5" borderId="1" xfId="0" applyNumberFormat="1" applyFont="1" applyFill="1" applyBorder="1"/>
    <x:xf numFmtId="203" fontId="2" fillId="5" borderId="1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horizontal="center"/>
    </x:xf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9">
    <x:dxf>
      <x:fill>
        <x:patternFill patternType="solid">
          <x:bgColor rgb="FFECFDF5"/>
        </x:patternFill>
      </x:fill>
    </x:dxf>
    <x:dxf>
      <x:fill>
        <x:patternFill patternType="solid">
          <x:bgColor rgb="FFEFF6FF"/>
        </x:patternFill>
      </x:fill>
    </x:dxf>
    <x:dxf>
      <x:fill>
        <x:patternFill patternType="solid">
          <x:bgColor rgb="FFF5F3FF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93C5FD"/>
        </x:patternFill>
      </x:fill>
    </x:dxf>
    <x:dxf>
      <x:fill>
        <x:patternFill patternType="solid">
          <x:bgColor rgb="FFEF4444"/>
        </x:patternFill>
      </x:fill>
    </x:dxf>
    <x:dxf>
      <x:fill>
        <x:patternFill patternType="solid">
          <x:bgColor rgb="FF111827"/>
        </x:patternFill>
      </x:fill>
    </x:dxf>
    <x:dxf>
      <x:font>
        <x:b/>
        <x:color rgb="FFFFFFFF"/>
      </x:font>
      <x:fill>
        <x:patternFill patternType="solid">
          <x:bgColor rgb="FF991B1B"/>
        </x:patternFill>
      </x:fill>
    </x:dxf>
    <x:dxf>
      <x:font>
        <x:b/>
        <x:color rgb="FFFFFFFF"/>
      </x:font>
      <x:fill>
        <x:patternFill patternType="solid">
          <x:bgColor rgb="FFF97316"/>
        </x:patternFill>
      </x:fill>
    </x:dxf>
    <x:dxf>
      <x:font>
        <x:b/>
        <x:color rgb="FF111827"/>
      </x:font>
      <x:fill>
        <x:patternFill patternType="solid">
          <x:bgColor rgb="FFFACC15"/>
        </x:patternFill>
      </x:fill>
    </x:dxf>
    <x:dxf>
      <x:font>
        <x:color rgb="FF111827"/>
      </x:font>
      <x:fill>
        <x:patternFill patternType="solid">
          <x:bgColor rgb="FFDCFCE7"/>
        </x:patternFill>
      </x:fill>
    </x:dxf>
    <x:dxf>
      <x:font>
        <x:b/>
        <x:color rgb="FFFFFFFF"/>
      </x:font>
      <x:fill>
        <x:patternFill patternType="solid">
          <x:bgColor rgb="FF991B1B"/>
        </x:patternFill>
      </x:fill>
    </x:dxf>
    <x:dxf>
      <x:font>
        <x:b/>
        <x:color rgb="FFFFFFFF"/>
      </x:font>
      <x:fill>
        <x:patternFill patternType="solid">
          <x:bgColor rgb="FFF97316"/>
        </x:patternFill>
      </x:fill>
    </x:dxf>
    <x:dxf>
      <x:font>
        <x:b/>
        <x:color rgb="FF111827"/>
      </x:font>
      <x:fill>
        <x:patternFill patternType="solid">
          <x:bgColor rgb="FFFACC15"/>
        </x:patternFill>
      </x:fill>
    </x:dxf>
    <x:dxf>
      <x:font>
        <x:color rgb="FF111827"/>
      </x:font>
      <x:fill>
        <x:patternFill patternType="solid">
          <x:bgColor rgb="FFDCFCE7"/>
        </x:patternFill>
      </x:fill>
    </x:dxf>
    <x:dxf>
      <x:font>
        <x:b/>
      </x:font>
      <x:fill>
        <x:patternFill patternType="solid">
          <x:bgColor rgb="FFDCFCE7"/>
        </x:patternFill>
      </x:fill>
    </x:dxf>
    <x:dxf>
      <x:font>
        <x:b/>
      </x:font>
      <x:fill>
        <x:patternFill patternType="solid">
          <x:bgColor rgb="FFFEE2E2"/>
        </x:patternFill>
      </x:fill>
    </x:dxf>
    <x:dxf>
      <x:font>
        <x:b/>
      </x:font>
      <x:fill>
        <x:patternFill patternType="solid">
          <x:bgColor rgb="FFFEF3C7"/>
        </x:patternFill>
      </x:fill>
    </x:dxf>
    <x:dxf>
      <x:font>
        <x:b/>
      </x:font>
      <x:fill>
        <x:patternFill patternType="solid">
          <x:bgColor rgb="FFDCFCE7"/>
        </x:patternFill>
      </x:fill>
    </x:dxf>
    <x:dxf>
      <x:font>
        <x:b/>
      </x:font>
      <x:fill>
        <x:patternFill patternType="solid">
          <x:bgColor rgb="FFFEE2E2"/>
        </x:patternFill>
      </x:fill>
    </x:dxf>
    <x:dxf>
      <x:font>
        <x:b/>
      </x:font>
      <x:fill>
        <x:patternFill patternType="solid">
          <x:bgColor rgb="FFFEF3C7"/>
        </x:patternFill>
      </x:fill>
    </x:dxf>
    <x:dxf>
      <x:font>
        <x:b/>
      </x:font>
      <x:fill>
        <x:patternFill patternType="solid">
          <x:bgColor rgb="FFFEF3C7"/>
        </x:patternFill>
      </x:fill>
    </x:dxf>
    <x:dxf>
      <x:font>
        <x:b/>
      </x:font>
      <x:fill>
        <x:patternFill patternType="solid">
          <x:bgColor rgb="FFDCFCE7"/>
        </x:patternFill>
      </x:fill>
    </x:dxf>
    <x:dxf>
      <x:font>
        <x:b/>
      </x:font>
      <x:fill>
        <x:patternFill patternType="solid">
          <x:bgColor rgb="FFFEE2E2"/>
        </x:patternFill>
      </x:fill>
    </x:dxf>
    <x:dxf>
      <x:font>
        <x:b/>
      </x:font>
      <x:fill>
        <x:patternFill patternType="solid">
          <x:bgColor rgb="FFDCFCE7"/>
        </x:patternFill>
      </x:fill>
    </x:dxf>
    <x:dxf>
      <x:font>
        <x:b/>
      </x:font>
      <x:fill>
        <x:patternFill patternType="solid">
          <x:bgColor rgb="FFDBEAFE"/>
        </x:patternFill>
      </x:fill>
    </x:dxf>
    <x:dxf>
      <x:font>
        <x:b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0f74a3a12c42c5" /><Relationship Type="http://schemas.openxmlformats.org/officeDocument/2006/relationships/theme" Target="/xl/theme/theme1.xml" Id="Rc5afd6e26855496f" /><Relationship Type="http://schemas.openxmlformats.org/officeDocument/2006/relationships/sharedStrings" Target="/xl/sharedStrings.xml" Id="R6115ebbd9d6b4bb0" /><Relationship Type="http://schemas.openxmlformats.org/officeDocument/2006/relationships/worksheet" Target="/xl/worksheets/sheet1.xml" Id="Re54af9c2d6174f4e" /><Relationship Type="http://schemas.openxmlformats.org/officeDocument/2006/relationships/worksheet" Target="/xl/worksheets/sheet2.xml" Id="R00d8b09933b5466f" /><Relationship Type="http://schemas.openxmlformats.org/officeDocument/2006/relationships/worksheet" Target="/xl/worksheets/sheet3.xml" Id="R232d8c346ce34532" /><Relationship Type="http://schemas.openxmlformats.org/officeDocument/2006/relationships/worksheet" Target="/xl/worksheets/sheet4.xml" Id="Rb339fe017f914f76" /><Relationship Type="http://schemas.openxmlformats.org/officeDocument/2006/relationships/worksheet" Target="/xl/worksheets/sheet5.xml" Id="Re676158bfc27454f" /><Relationship Type="http://schemas.openxmlformats.org/officeDocument/2006/relationships/worksheet" Target="/xl/worksheets/sheet6.xml" Id="R3b027766c9ce414d" /><Relationship Type="http://schemas.openxmlformats.org/officeDocument/2006/relationships/worksheet" Target="/xl/worksheets/sheet7.xml" Id="R98b0f3a92cc64f91" /><Relationship Type="http://schemas.openxmlformats.org/officeDocument/2006/relationships/worksheet" Target="/xl/worksheets/sheet8.xml" Id="Ra99072fdb81c4874" /><Relationship Type="http://schemas.openxmlformats.org/officeDocument/2006/relationships/worksheet" Target="/xl/worksheets/sheet9.xml" Id="R548a43ad3aa747c5" /><Relationship Type="http://schemas.openxmlformats.org/officeDocument/2006/relationships/worksheet" Target="/xl/worksheets/sheet10.xml" Id="R5e2091b8f4f7495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e9779925b174f3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6b23498f6eb2415a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Average Exposure</c:v>
          </c:tx>
          <c:cat>
            <c:strRef>
              <c:f>'Dashboard'!$H$5:$H$7</c:f>
              <c:strCache>
                <c:ptCount val="0"/>
              </c:strCache>
            </c:strRef>
          </c:cat>
          <c:val>
            <c:numRef>
              <c:f>'Dashboard'!$J$5:$J$7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Risks by Category</c:v>
          </c:tx>
          <c:cat>
            <c:strRef>
              <c:f>'Risk_Matrix'!$I$7:$I$9</c:f>
              <c:strCache>
                <c:ptCount val="0"/>
              </c:strCache>
            </c:strRef>
          </c:cat>
          <c:val>
            <c:numRef>
              <c:f>'Risk_Matrix'!$J$7:$J$9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8</xdr:row>
      <xdr:rowOff>0</xdr:rowOff>
    </xdr:from>
    <xdr:to>
      <xdr:col>12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e9779925b174f3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12</xdr:row>
      <xdr:rowOff>0</xdr:rowOff>
    </xdr:from>
    <xdr:to>
      <xdr:col>14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23498f6eb2415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0" name="DashboardKPIs" displayName="DashboardKPIs" ref="A4:C11" headerRowCount="1">
  <x:tableColumns count="3">
    <x:tableColumn id="1" name="KPI"/>
    <x:tableColumn id="2" name="Value"/>
    <x:tableColumn id="3" name="Target / Interpretation"/>
  </x:tableColumns>
  <x:tableStyleInfo name="TableStyleMedium2" showRowStripes="1"/>
</x:table>
</file>

<file path=xl/tables/table2.xml><?xml version="1.0" encoding="utf-8"?>
<x:table xmlns:x="http://schemas.openxmlformats.org/spreadsheetml/2006/main" id="2" name="FunctionalRequirements" displayName="FunctionalRequirements" ref="A5:H23" headerRowCount="1">
  <x:tableColumns count="8">
    <x:tableColumn id="1" name="FR ID"/>
    <x:tableColumn id="2" name="Functional Requirement"/>
    <x:tableColumn id="3" name="Actor/Source"/>
    <x:tableColumn id="4" name="Priority"/>
    <x:tableColumn id="5" name="Acceptance Criteria"/>
    <x:tableColumn id="6" name="Primary Use Case"/>
    <x:tableColumn id="7" name="Verification"/>
    <x:tableColumn id="8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NonFunctionalRequirements" displayName="NonFunctionalRequirements" ref="A27:G37" headerRowCount="1">
  <x:tableColumns count="7">
    <x:tableColumn id="1" name="NFR ID"/>
    <x:tableColumn id="2" name="Category"/>
    <x:tableColumn id="3" name="Measurable Requirement"/>
    <x:tableColumn id="4" name="Numeric Target"/>
    <x:tableColumn id="5" name="Verification Method"/>
    <x:tableColumn id="6" name="Traced Features"/>
    <x:tableColumn id="7" name="Status"/>
  </x:tableColumns>
  <x:tableStyleInfo name="TableStyleMedium2" showRowStripes="1"/>
</x:table>
</file>

<file path=xl/tables/table4.xml><?xml version="1.0" encoding="utf-8"?>
<x:table xmlns:x="http://schemas.openxmlformats.org/spreadsheetml/2006/main" id="5" name="WBSCoreSchedule" displayName="WBSCoreSchedule" ref="A4:R36" headerRowCount="1">
  <x:tableColumns count="18">
    <x:tableColumn id="1" name="WBS ID"/>
    <x:tableColumn id="2" name="Level"/>
    <x:tableColumn id="3" name="Work Package / Activity"/>
    <x:tableColumn id="4" name="Owner"/>
    <x:tableColumn id="5" name="Start"/>
    <x:tableColumn id="6" name="Duration"/>
    <x:tableColumn id="7" name="Finish"/>
    <x:tableColumn id="8" name="Predecessor"/>
    <x:tableColumn id="9" name="Dep. Type"/>
    <x:tableColumn id="10" name="Milestone"/>
    <x:tableColumn id="11" name="Critical"/>
    <x:tableColumn id="12" name="Baseline Start"/>
    <x:tableColumn id="13" name="Baseline Finish"/>
    <x:tableColumn id="14" name="Actual Start"/>
    <x:tableColumn id="15" name="Actual Finish"/>
    <x:tableColumn id="16" name="Status"/>
    <x:tableColumn id="17" name="% Complete"/>
    <x:tableColumn id="18" name="Evidence / Output"/>
  </x:tableColumns>
  <x:tableStyleInfo name="TableStyleMedium2" showRowStripes="1"/>
</x:table>
</file>

<file path=xl/tables/table5.xml><?xml version="1.0" encoding="utf-8"?>
<x:table xmlns:x="http://schemas.openxmlformats.org/spreadsheetml/2006/main" id="6" name="RiskRegister" displayName="RiskRegister" ref="A4:N16" headerRowCount="1">
  <x:tableColumns count="14">
    <x:tableColumn id="1" name="Risk ID"/>
    <x:tableColumn id="2" name="Category"/>
    <x:tableColumn id="3" name="Risk Event"/>
    <x:tableColumn id="4" name="Probability"/>
    <x:tableColumn id="5" name="Impact"/>
    <x:tableColumn id="6" name="Exposure"/>
    <x:tableColumn id="7" name="Rating"/>
    <x:tableColumn id="8" name="Trigger / Early Indicator"/>
    <x:tableColumn id="9" name="Owner"/>
    <x:tableColumn id="10" name="Mitigation Plan"/>
    <x:tableColumn id="11" name="Contingency Plan"/>
    <x:tableColumn id="12" name="Residual P"/>
    <x:tableColumn id="13" name="Residual I"/>
    <x:tableColumn id="14" name="Residual Exposure"/>
  </x:tableColumns>
  <x:tableStyleInfo name="TableStyleMedium2" showRowStripes="1"/>
</x:table>
</file>

<file path=xl/tables/table6.xml><?xml version="1.0" encoding="utf-8"?>
<x:table xmlns:x="http://schemas.openxmlformats.org/spreadsheetml/2006/main" id="7" name="TestCaseRegister" displayName="TestCaseRegister" ref="A5:L17" headerRowCount="1">
  <x:tableColumns count="12">
    <x:tableColumn id="1" name="TC ID"/>
    <x:tableColumn id="2" name="Use Case"/>
    <x:tableColumn id="3" name="FR ID"/>
    <x:tableColumn id="4" name="Test Type"/>
    <x:tableColumn id="5" name="Preconditions"/>
    <x:tableColumn id="6" name="Input Data"/>
    <x:tableColumn id="7" name="Execution Steps"/>
    <x:tableColumn id="8" name="Expected Result"/>
    <x:tableColumn id="9" name="Actual Result"/>
    <x:tableColumn id="10" name="Verdict"/>
    <x:tableColumn id="11" name="Priority"/>
    <x:tableColumn id="12" name="Owner"/>
  </x:tableColumns>
  <x:tableStyleInfo name="TableStyleMedium2" showRowStripes="1"/>
</x:table>
</file>

<file path=xl/tables/table7.xml><?xml version="1.0" encoding="utf-8"?>
<x:table xmlns:x="http://schemas.openxmlformats.org/spreadsheetml/2006/main" id="8" name="TraceabilityMatrix" displayName="TraceabilityMatrix" ref="A5:I23" headerRowCount="1">
  <x:tableColumns count="9">
    <x:tableColumn id="1" name="FR ID"/>
    <x:tableColumn id="2" name="Use Case"/>
    <x:tableColumn id="3" name="Class(es)"/>
    <x:tableColumn id="4" name="Sequence Diagram"/>
    <x:tableColumn id="5" name="Activity Diagram"/>
    <x:tableColumn id="6" name="Test Case(s)"/>
    <x:tableColumn id="7" name="Prototype Screen"/>
    <x:tableColumn id="8" name="Trace Status"/>
    <x:tableColumn id="9" name="Notes"/>
  </x:tableColumns>
  <x:tableStyleInfo name="TableStyleMedium2" showRowStripes="1"/>
</x:table>
</file>

<file path=xl/tables/table8.xml><?xml version="1.0" encoding="utf-8"?>
<x:table xmlns:x="http://schemas.openxmlformats.org/spreadsheetml/2006/main" id="4" name="ResourcePlan" displayName="ResourcePlan" ref="A3:H7" headerRowCount="1">
  <x:tableColumns count="8">
    <x:tableColumn id="1" name="Resource ID"/>
    <x:tableColumn id="2" name="Placeholder Name"/>
    <x:tableColumn id="3" name="Project Role"/>
    <x:tableColumn id="4" name="Primary Responsibility"/>
    <x:tableColumn id="5" name="Secondary Responsibility"/>
    <x:tableColumn id="6" name="Key Evidence"/>
    <x:tableColumn id="7" name="Planned Hours"/>
    <x:tableColumn id="8" name="Actual Hours"/>
  </x:tableColumns>
  <x:tableStyleInfo name="TableStyleMedium2" showRowStripes="1"/>
</x:table>
</file>

<file path=xl/tables/table9.xml><?xml version="1.0" encoding="utf-8"?>
<x:table xmlns:x="http://schemas.openxmlformats.org/spreadsheetml/2006/main" id="9" name="ArtifactIndex" displayName="ArtifactIndex" ref="A5:H25" headerRowCount="1">
  <x:tableColumns count="8">
    <x:tableColumn id="1" name="Figure ID"/>
    <x:tableColumn id="2" name="Artifact Name"/>
    <x:tableColumn id="3" name="Tool"/>
    <x:tableColumn id="4" name="Source File"/>
    <x:tableColumn id="5" name="Screenshot File"/>
    <x:tableColumn id="6" name="Report Section"/>
    <x:tableColumn id="7" name="Status"/>
    <x:tableColumn id="8" name="Notes"/>
  </x:tableColumns>
  <x:tableStyleInfo name="TableStyleMedium2" showRowStripes="1"/>
</x:table>
</file>

<file path=xl/tables/table10.xml><?xml version="1.0" encoding="utf-8"?>
<x:table xmlns:x="http://schemas.openxmlformats.org/spreadsheetml/2006/main" id="1" name="ReferenceSources" displayName="ReferenceSources" ref="H3:J11" headerRowCount="1">
  <x:tableColumns count="3">
    <x:tableColumn id="1" name="Source"/>
    <x:tableColumn id="2" name="URL"/>
    <x:tableColumn id="3" name="Use in projec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3ca64a2b3c34f0c" /><Relationship Type="http://schemas.openxmlformats.org/officeDocument/2006/relationships/table" Target="/xl/tables/table1.xml" Id="R1136c568302f4e8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c3f59d1745644b5" /><Relationship Type="http://schemas.openxmlformats.org/officeDocument/2006/relationships/table" Target="/xl/tables/table3.xml" Id="R1f3ea63918d048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b39579bf87854d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020b4ee57ccc43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2e5161f66d4f49e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740b8ed81a8467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2d1e0ba94384d4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1d635310abf4fb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ff8cef66efb5407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e9616798ccd24941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34" hidden="0" customWidth="1"/>
    <x:col min="4" max="4" width="4" hidden="0" customWidth="1"/>
    <x:col min="5" max="5" width="28" hidden="0" customWidth="1"/>
    <x:col min="6" max="6" width="18" hidden="0" customWidth="1"/>
    <x:col min="7" max="7" width="24" hidden="0" customWidth="1"/>
    <x:col min="8" max="8" width="30" hidden="0" customWidth="1"/>
    <x:col min="9" max="9" width="12" hidden="0" customWidth="1"/>
    <x:col min="10" max="10" width="18" hidden="0" customWidth="1"/>
    <x:col min="11" max="11" width="4" hidden="0" customWidth="1"/>
    <x:col min="12" max="12" width="4" hidden="0" customWidth="1"/>
  </x:cols>
  <x:sheetData>
    <x:row r="1" ht="28" customHeight="1">
      <x:c r="A1" s="94" t="str">
        <x:v>ColdChainRx Final Project Planning Dashboard</x:v>
      </x:c>
      <x:c r="B1" s="94"/>
      <x:c r="C1" s="94"/>
      <x:c r="D1" s="94"/>
      <x:c r="E1" s="94"/>
      <x:c r="F1" s="94"/>
      <x:c r="G1" s="94"/>
      <x:c r="H1" s="94"/>
      <x:c r="I1" s="94"/>
      <x:c r="J1" s="94"/>
    </x:row>
    <x:row r="2" ht="20" customHeight="1">
      <x:c r="A2" s="85" t="str">
        <x:v>Smart Pharmaceutical Cold-Chain Monitoring and Drug Recall Management System</x:v>
      </x:c>
      <x:c r="B2" s="85"/>
      <x:c r="C2" s="85"/>
      <x:c r="D2" s="85"/>
      <x:c r="E2" s="85"/>
      <x:c r="F2" s="85"/>
      <x:c r="G2" s="85"/>
      <x:c r="H2" s="85"/>
      <x:c r="I2" s="85"/>
      <x:c r="J2" s="85"/>
    </x:row>
    <x:row r="4">
      <x:c r="A4" s="34" t="str">
        <x:v>KPI</x:v>
      </x:c>
      <x:c r="B4" s="34" t="str">
        <x:v>Value</x:v>
      </x:c>
      <x:c r="C4" s="34" t="str">
        <x:v>Target / Interpretation</x:v>
      </x:c>
      <x:c r="E4" s="10" t="str">
        <x:v>Project Timeline Snapshot</x:v>
      </x:c>
      <x:c r="F4" s="10" t="str">
        <x:v>Value</x:v>
      </x:c>
      <x:c r="H4" s="10" t="str">
        <x:v>Risk Category</x:v>
      </x:c>
      <x:c r="I4" s="10" t="str">
        <x:v>Count</x:v>
      </x:c>
      <x:c r="J4" s="10" t="str">
        <x:v>Average Exposure</x:v>
      </x:c>
    </x:row>
    <x:row r="5">
      <x:c r="A5" s="73" t="str">
        <x:v>Functional Requirements</x:v>
      </x:c>
      <x:c r="B5" s="89" t="n">
        <x:f>COUNTA(Requirements!A6:A23)</x:f>
        <x:v>18</x:v>
      </x:c>
      <x:c r="C5" s="14" t="str">
        <x:v>18 FRs with traceability</x:v>
      </x:c>
      <x:c r="E5" s="73" t="str">
        <x:v>Project Start</x:v>
      </x:c>
      <x:c r="F5" s="46" t="n">
        <x:f>WBS_Gantt!B2</x:f>
        <x:v>46183</x:v>
      </x:c>
      <x:c r="H5" s="73" t="str">
        <x:v>Product</x:v>
      </x:c>
      <x:c r="I5" s="92" t="n">
        <x:f>COUNTIF(Risk_Register!B5:B16,"Product")</x:f>
        <x:v>4</x:v>
      </x:c>
      <x:c r="J5" s="92" t="n">
        <x:f>ROUND(SUMIF(Risk_Register!B5:B16,"Product",Risk_Register!F5:F16)/COUNTIF(Risk_Register!B5:B16,"Product"),1)</x:f>
        <x:v>12.5</x:v>
      </x:c>
    </x:row>
    <x:row r="6">
      <x:c r="A6" s="73" t="str">
        <x:v>Non-Functional Requirements</x:v>
      </x:c>
      <x:c r="B6" s="89" t="n">
        <x:f>COUNTA(Requirements!A28:A37)</x:f>
        <x:v>10</x:v>
      </x:c>
      <x:c r="C6" s="14" t="str">
        <x:v>10 measurable NFRs</x:v>
      </x:c>
      <x:c r="E6" s="73" t="str">
        <x:v>Target Submission</x:v>
      </x:c>
      <x:c r="F6" s="46" t="n">
        <x:f>WBS_Gantt!D2</x:f>
        <x:v>46213</x:v>
      </x:c>
      <x:c r="H6" s="73" t="str">
        <x:v>Project</x:v>
      </x:c>
      <x:c r="I6" s="92" t="n">
        <x:f>COUNTIF(Risk_Register!B5:B16,"Project")</x:f>
        <x:v>4</x:v>
      </x:c>
      <x:c r="J6" s="92" t="n">
        <x:f>ROUND(SUMIF(Risk_Register!B5:B16,"Project",Risk_Register!F5:F16)/COUNTIF(Risk_Register!B5:B16,"Project"),1)</x:f>
        <x:v>10.3</x:v>
      </x:c>
    </x:row>
    <x:row r="7">
      <x:c r="A7" s="73" t="str">
        <x:v>Planned Test Cases</x:v>
      </x:c>
      <x:c r="B7" s="89" t="n">
        <x:f>COUNTA(Test_Cases!A6:A17)</x:f>
        <x:v>12</x:v>
      </x:c>
      <x:c r="C7" s="14" t="str">
        <x:v>12 test cases across 4+ use cases</x:v>
      </x:c>
      <x:c r="E7" s="73" t="str">
        <x:v>Tasks Completed</x:v>
      </x:c>
      <x:c r="F7" t="n">
        <x:f>COUNTIF(WBS_Gantt!P5:P36,"Completed")</x:f>
        <x:v>5</x:v>
      </x:c>
      <x:c r="H7" s="73" t="str">
        <x:v>Business</x:v>
      </x:c>
      <x:c r="I7" s="92" t="n">
        <x:f>COUNTIF(Risk_Register!B5:B16,"Business")</x:f>
        <x:v>4</x:v>
      </x:c>
      <x:c r="J7" s="92" t="n">
        <x:f>ROUND(SUMIF(Risk_Register!B5:B16,"Business",Risk_Register!F5:F16)/COUNTIF(Risk_Register!B5:B16,"Business"),1)</x:f>
        <x:v>10.3</x:v>
      </x:c>
    </x:row>
    <x:row r="8">
      <x:c r="A8" s="73" t="str">
        <x:v>Total Risks</x:v>
      </x:c>
      <x:c r="B8" s="89" t="n">
        <x:f>COUNTA(Risk_Register!A5:A16)</x:f>
        <x:v>12</x:v>
      </x:c>
      <x:c r="C8" s="14" t="str">
        <x:v>12 risks, 4 per category</x:v>
      </x:c>
      <x:c r="E8" s="73" t="str">
        <x:v>Tasks In Progress</x:v>
      </x:c>
      <x:c r="F8" t="n">
        <x:f>COUNTIF(WBS_Gantt!P5:P36,"In Progress")</x:f>
        <x:v>4</x:v>
      </x:c>
    </x:row>
    <x:row r="9">
      <x:c r="A9" s="73" t="str">
        <x:v>High/Critical Risks</x:v>
      </x:c>
      <x:c r="B9" s="89" t="n">
        <x:f>COUNTIF(Risk_Register!G5:G16,"High")+COUNTIF(Risk_Register!G5:G16,"Critical")</x:f>
        <x:v>8</x:v>
      </x:c>
      <x:c r="C9" s="14" t="str">
        <x:v>Must have mitigation and contingency</x:v>
      </x:c>
      <x:c r="E9" s="73" t="str">
        <x:v>Tasks Not Started</x:v>
      </x:c>
      <x:c r="F9" t="n">
        <x:f>COUNTIF(WBS_Gantt!P5:P36,"Not Started")</x:f>
        <x:v>23</x:v>
      </x:c>
    </x:row>
    <x:row r="10">
      <x:c r="A10" s="73" t="str">
        <x:v>Traceability Gaps</x:v>
      </x:c>
      <x:c r="B10" s="89" t="n">
        <x:f>COUNTIF(Traceability!H6:H23,"Gap")+COUNTIF(Traceability!H6:H23,"Needs Review")</x:f>
        <x:v>0</x:v>
      </x:c>
      <x:c r="C10" s="14" t="str">
        <x:v>Target = 0</x:v>
      </x:c>
      <x:c r="E10" s="73" t="str">
        <x:v>Average Completion</x:v>
      </x:c>
      <x:c r="F10" s="50" t="n">
        <x:f>ROUND(AVERAGE(WBS_Gantt!Q5:Q36),2)</x:f>
        <x:v>0.24</x:v>
      </x:c>
    </x:row>
    <x:row r="11">
      <x:c r="A11" s="73" t="str">
        <x:v>Critical Path Tasks</x:v>
      </x:c>
      <x:c r="B11" s="89" t="n">
        <x:f>COUNTIF(WBS_Gantt!K5:K36,"Yes")</x:f>
        <x:v>17</x:v>
      </x:c>
      <x:c r="C11" s="14" t="str">
        <x:v>Must be monitored weekly</x:v>
      </x:c>
    </x:row>
    <x:row r="14">
      <x:c r="A14" s="34" t="str">
        <x:v>Deliverable</x:v>
      </x:c>
      <x:c r="B14" s="34" t="str">
        <x:v>Status</x:v>
      </x:c>
      <x:c r="C14" s="34" t="str">
        <x:v>Evidence Sheet / File</x:v>
      </x:c>
      <x:c r="E14" s="34" t="str">
        <x:v>Milestone</x:v>
      </x:c>
      <x:c r="F14" s="34" t="str">
        <x:v>Planned Date</x:v>
      </x:c>
      <x:c r="G14" s="34" t="str">
        <x:v>Owner</x:v>
      </x:c>
      <x:c r="H14" s="34" t="str">
        <x:v>Evidence</x:v>
      </x:c>
    </x:row>
    <x:row r="15">
      <x:c r="A15" s="14" t="str">
        <x:v>SRS requirements baseline</x:v>
      </x:c>
      <x:c r="B15" s="14" t="str">
        <x:v>Ready for Review</x:v>
      </x:c>
      <x:c r="C15" s="14" t="str">
        <x:v>Requirements</x:v>
      </x:c>
      <x:c r="E15" s="14" t="str">
        <x:v>Topic approval</x:v>
      </x:c>
      <x:c r="F15" s="52" t="n">
        <x:v>46183</x:v>
      </x:c>
      <x:c r="G15" s="14" t="str">
        <x:v>All Members</x:v>
      </x:c>
      <x:c r="H15" s="14" t="str">
        <x:v>Project charter</x:v>
      </x:c>
    </x:row>
    <x:row r="16">
      <x:c r="A16" s="14" t="str">
        <x:v>WBS + Gantt</x:v>
      </x:c>
      <x:c r="B16" s="14" t="str">
        <x:v>Ready for Review</x:v>
      </x:c>
      <x:c r="C16" s="14" t="str">
        <x:v>WBS_Gantt</x:v>
      </x:c>
      <x:c r="E16" s="14" t="str">
        <x:v>Requirements baseline complete</x:v>
      </x:c>
      <x:c r="F16" s="52" t="n">
        <x:v>46189</x:v>
      </x:c>
      <x:c r="G16" s="14" t="str">
        <x:v>Requirements Lead</x:v>
      </x:c>
      <x:c r="H16" s="14" t="str">
        <x:v>FR/NFR register</x:v>
      </x:c>
    </x:row>
    <x:row r="17">
      <x:c r="A17" s="14" t="str">
        <x:v>Risk register + matrix</x:v>
      </x:c>
      <x:c r="B17" s="14" t="str">
        <x:v>Ready for Review</x:v>
      </x:c>
      <x:c r="C17" s="14" t="str">
        <x:v>Risk_Register / Risk_Matrix</x:v>
      </x:c>
      <x:c r="E17" s="14" t="str">
        <x:v>UML design package complete</x:v>
      </x:c>
      <x:c r="F17" s="52" t="n">
        <x:v>46199</x:v>
      </x:c>
      <x:c r="G17" s="14" t="str">
        <x:v>UML/Design Lead</x:v>
      </x:c>
      <x:c r="H17" s="14" t="str">
        <x:v>StarUML exports</x:v>
      </x:c>
    </x:row>
    <x:row r="18">
      <x:c r="A18" s="14" t="str">
        <x:v>Test cases</x:v>
      </x:c>
      <x:c r="B18" s="14" t="str">
        <x:v>Ready for Review</x:v>
      </x:c>
      <x:c r="C18" s="14" t="str">
        <x:v>Test_Cases</x:v>
      </x:c>
      <x:c r="E18" s="14" t="str">
        <x:v>Prototype screenshots ready</x:v>
      </x:c>
      <x:c r="F18" s="52" t="n">
        <x:v>46203</x:v>
      </x:c>
      <x:c r="G18" s="14" t="str">
        <x:v>Prototype/QA Lead</x:v>
      </x:c>
      <x:c r="H18" s="14" t="str">
        <x:v>HTML screenshots</x:v>
      </x:c>
    </x:row>
    <x:row r="19">
      <x:c r="A19" s="14" t="str">
        <x:v>Traceability matrix</x:v>
      </x:c>
      <x:c r="B19" s="14" t="str">
        <x:v>Ready for Review</x:v>
      </x:c>
      <x:c r="C19" s="14" t="str">
        <x:v>Traceability</x:v>
      </x:c>
      <x:c r="E19" s="14" t="str">
        <x:v>Final Word report ready</x:v>
      </x:c>
      <x:c r="F19" s="52" t="n">
        <x:v>46209</x:v>
      </x:c>
      <x:c r="G19" s="14" t="str">
        <x:v>All Members</x:v>
      </x:c>
      <x:c r="H19" s="14" t="str">
        <x:v>SRS + dossier</x:v>
      </x:c>
    </x:row>
    <x:row r="20">
      <x:c r="A20" s="14" t="str">
        <x:v>Screenshot index</x:v>
      </x:c>
      <x:c r="B20" s="14" t="str">
        <x:v>Planned</x:v>
      </x:c>
      <x:c r="C20" s="14" t="str">
        <x:v>Artifact_Index</x:v>
      </x:c>
      <x:c r="E20" s="14" t="str">
        <x:v>Defense rehearsal</x:v>
      </x:c>
      <x:c r="F20" s="52" t="n">
        <x:v>46211</x:v>
      </x:c>
      <x:c r="G20" s="14" t="str">
        <x:v>All Members</x:v>
      </x:c>
      <x:c r="H20" s="14" t="str">
        <x:v>Mock viva notes</x:v>
      </x:c>
    </x:row>
    <x:row r="21">
      <x:c r="A21" s="14" t="str">
        <x:v>HTML prototype</x:v>
      </x:c>
      <x:c r="B21" s="14" t="str">
        <x:v>Planned</x:v>
      </x:c>
      <x:c r="C21" s="14" t="str">
        <x:v>Prototype files</x:v>
      </x:c>
      <x:c r="E21" s="14" t="str">
        <x:v>Final submission</x:v>
      </x:c>
      <x:c r="F21" s="52" t="n">
        <x:v>46213</x:v>
      </x:c>
      <x:c r="G21" s="14" t="str">
        <x:v>All Members</x:v>
      </x:c>
      <x:c r="H21" s="14" t="str">
        <x:v>Word + PowerPoint</x:v>
      </x:c>
    </x:row>
    <x:row r="22">
      <x:c r="A22" s="14" t="str">
        <x:v>StarUML source</x:v>
      </x:c>
      <x:c r="B22" s="14" t="str">
        <x:v>Planned</x:v>
      </x:c>
      <x:c r="C22" s="14" t="str">
        <x:v>coldchainrx.mdj</x:v>
      </x:c>
    </x:row>
  </x:sheetData>
  <x:mergeCells>
    <x:mergeCell ref="A1:J1"/>
    <x:mergeCell ref="A2:J2"/>
  </x:mergeCells>
  <x:conditionalFormatting sqref="B15:B22">
    <x:cfRule type="expression" dxfId="26" priority="1">
      <x:formula>B15="Completed"</x:formula>
    </x:cfRule>
    <x:cfRule type="expression" dxfId="27" priority="2">
      <x:formula>B15="Ready for Review"</x:formula>
    </x:cfRule>
    <x:cfRule type="expression" dxfId="28" priority="3">
      <x:formula>B15="Needs Fix"</x:formula>
    </x:cfRule>
  </x:conditionalFormatting>
  <x:dataValidations count="1">
    <x:dataValidation type="list" sqref="B15:B22">
      <x:formula1>"Planned,In Progress,Ready for Review,Completed,Needs Fix"</x:formula1>
    </x:dataValidation>
  </x:dataValidations>
  <x:pageMargins left="0.7" right="0.7" top="0.75" bottom="0.75" header="0.3" footer="0.3"/>
  <x:drawing xmlns:r="http://schemas.openxmlformats.org/officeDocument/2006/relationships" r:id="R23ca64a2b3c34f0c"/>
  <x:tableParts count="1">
    <x:tablePart xmlns:r="http://schemas.openxmlformats.org/officeDocument/2006/relationships" r:id="R1136c568302f4e8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2" hidden="0" customWidth="1"/>
    <x:col min="3" max="3" width="46" hidden="0" customWidth="1"/>
    <x:col min="4" max="4" width="32" hidden="0" customWidth="1"/>
    <x:col min="5" max="5" width="32" hidden="0" customWidth="1"/>
    <x:col min="6" max="6" width="22" hidden="0" customWidth="1"/>
    <x:col min="7" max="7" width="18" hidden="0" customWidth="1"/>
    <x:col min="8" max="8" width="18" hidden="0" customWidth="1"/>
  </x:cols>
  <x:sheetData>
    <x:row r="1" ht="28" customHeight="1">
      <x:c r="A1" s="94" t="str">
        <x:v>ColdChainRx Requirements Register</x:v>
      </x:c>
      <x:c r="B1" s="94"/>
      <x:c r="C1" s="94"/>
      <x:c r="D1" s="94"/>
      <x:c r="E1" s="94"/>
      <x:c r="F1" s="94"/>
      <x:c r="G1" s="94"/>
      <x:c r="H1" s="94"/>
    </x:row>
    <x:row r="2" ht="20" customHeight="1"/>
    <x:row r="3">
      <x:c r="A3" s="18" t="str">
        <x:v>This sheet is the single requirements baseline used by the Use Cases, Traceability Matrix, Test Cases, and UML design.</x:v>
      </x:c>
      <x:c r="B3" s="18"/>
      <x:c r="C3" s="18"/>
      <x:c r="D3" s="18"/>
      <x:c r="E3" s="18"/>
      <x:c r="F3" s="18"/>
      <x:c r="G3" s="18"/>
      <x:c r="H3" s="18"/>
    </x:row>
    <x:row r="5">
      <x:c r="A5" s="23" t="str">
        <x:v>FR ID</x:v>
      </x:c>
      <x:c r="B5" s="23" t="str">
        <x:v>Functional Requirement</x:v>
      </x:c>
      <x:c r="C5" s="23" t="str">
        <x:v>Actor/Source</x:v>
      </x:c>
      <x:c r="D5" s="23" t="str">
        <x:v>Priority</x:v>
      </x:c>
      <x:c r="E5" s="23" t="str">
        <x:v>Acceptance Criteria</x:v>
      </x:c>
      <x:c r="F5" s="23" t="str">
        <x:v>Primary Use Case</x:v>
      </x:c>
      <x:c r="G5" s="23" t="str">
        <x:v>Verification</x:v>
      </x:c>
      <x:c r="H5" s="23" t="str">
        <x:v>Status</x:v>
      </x:c>
    </x:row>
    <x:row r="6">
      <x:c r="A6" s="14" t="str">
        <x:v>FR-01</x:v>
      </x:c>
      <x:c r="B6" s="14" t="str">
        <x:v>Register a medicine batch with batch number, medicine name, expiry date, supplier, approved temperature range, and QR/GS1 identifier.</x:v>
      </x:c>
      <x:c r="C6" s="14" t="str">
        <x:v>Warehouse Manager</x:v>
      </x:c>
      <x:c r="D6" s="14" t="str">
        <x:v>Must</x:v>
      </x:c>
      <x:c r="E6" s="14" t="str">
        <x:v>The batch cannot be saved unless all mandatory fields are completed and the batch number is unique.</x:v>
      </x:c>
      <x:c r="F6" s="14" t="str">
        <x:v>UC-02</x:v>
      </x:c>
      <x:c r="G6" s="14" t="str">
        <x:v>Functional test + data validation</x:v>
      </x:c>
      <x:c r="H6" s="14" t="str">
        <x:v>Ready for Review</x:v>
      </x:c>
    </x:row>
    <x:row r="7">
      <x:c r="A7" s="14" t="str">
        <x:v>FR-02</x:v>
      </x:c>
      <x:c r="B7" s="14" t="str">
        <x:v>Create a cold-chain shipment containing one or more registered medicine batches.</x:v>
      </x:c>
      <x:c r="C7" s="14" t="str">
        <x:v>Warehouse Manager</x:v>
      </x:c>
      <x:c r="D7" s="14" t="str">
        <x:v>Must</x:v>
      </x:c>
      <x:c r="E7" s="14" t="str">
        <x:v>The shipment receives a unique shipment ID and initial status 'Prepared'.</x:v>
      </x:c>
      <x:c r="F7" s="14" t="str">
        <x:v>UC-03</x:v>
      </x:c>
      <x:c r="G7" s="14" t="str">
        <x:v>Functional test</x:v>
      </x:c>
      <x:c r="H7" s="14" t="str">
        <x:v>Ready for Review</x:v>
      </x:c>
    </x:row>
    <x:row r="8">
      <x:c r="A8" s="14" t="str">
        <x:v>FR-03</x:v>
      </x:c>
      <x:c r="B8" s="14" t="str">
        <x:v>Assign a driver and delivery vehicle to a shipment.</x:v>
      </x:c>
      <x:c r="C8" s="14" t="str">
        <x:v>Warehouse Manager</x:v>
      </x:c>
      <x:c r="D8" s="14" t="str">
        <x:v>Must</x:v>
      </x:c>
      <x:c r="E8" s="14" t="str">
        <x:v>A shipment cannot move to 'Dispatched' unless both driver and vehicle are assigned.</x:v>
      </x:c>
      <x:c r="F8" s="14" t="str">
        <x:v>UC-04</x:v>
      </x:c>
      <x:c r="G8" s="14" t="str">
        <x:v>Functional test</x:v>
      </x:c>
      <x:c r="H8" s="14" t="str">
        <x:v>Ready for Review</x:v>
      </x:c>
    </x:row>
    <x:row r="9">
      <x:c r="A9" s="14" t="str">
        <x:v>FR-04</x:v>
      </x:c>
      <x:c r="B9" s="14" t="str">
        <x:v>Start delivery after the driver confirms pickup.</x:v>
      </x:c>
      <x:c r="C9" s="14" t="str">
        <x:v>Delivery Driver</x:v>
      </x:c>
      <x:c r="D9" s="14" t="str">
        <x:v>Must</x:v>
      </x:c>
      <x:c r="E9" s="14" t="str">
        <x:v>Shipment status changes from 'Prepared' to 'In Transit' with pickup timestamp and driver ID.</x:v>
      </x:c>
      <x:c r="F9" s="14" t="str">
        <x:v>UC-05</x:v>
      </x:c>
      <x:c r="G9" s="14" t="str">
        <x:v>Functional test</x:v>
      </x:c>
      <x:c r="H9" s="14" t="str">
        <x:v>Ready for Review</x:v>
      </x:c>
    </x:row>
    <x:row r="10">
      <x:c r="A10" s="14" t="str">
        <x:v>FR-05</x:v>
      </x:c>
      <x:c r="B10" s="14" t="str">
        <x:v>Receive temperature and humidity readings from the IoT sensor linked to a shipment.</x:v>
      </x:c>
      <x:c r="C10" s="14" t="str">
        <x:v>IoT Temperature Sensor</x:v>
      </x:c>
      <x:c r="D10" s="14" t="str">
        <x:v>Must</x:v>
      </x:c>
      <x:c r="E10" s="14" t="str">
        <x:v>Each reading is stored with timestamp, sensor ID, shipment ID, temperature, humidity, and battery status.</x:v>
      </x:c>
      <x:c r="F10" s="14" t="str">
        <x:v>UC-07</x:v>
      </x:c>
      <x:c r="G10" s="14" t="str">
        <x:v>Integration test</x:v>
      </x:c>
      <x:c r="H10" s="14" t="str">
        <x:v>Ready for Review</x:v>
      </x:c>
    </x:row>
    <x:row r="11">
      <x:c r="A11" s="14" t="str">
        <x:v>FR-06</x:v>
      </x:c>
      <x:c r="B11" s="14" t="str">
        <x:v>Detect temperature breaches by comparing readings with the approved temperature range of all medicine batches in the shipment.</x:v>
      </x:c>
      <x:c r="C11" s="14" t="str">
        <x:v>Monitoring Service</x:v>
      </x:c>
      <x:c r="D11" s="14" t="str">
        <x:v>Must</x:v>
      </x:c>
      <x:c r="E11" s="14" t="str">
        <x:v>If readings are outside range for more than 5 continuous minutes, a breach record is created.</x:v>
      </x:c>
      <x:c r="F11" s="14" t="str">
        <x:v>UC-08</x:v>
      </x:c>
      <x:c r="G11" s="14" t="str">
        <x:v>Boundary + integration test</x:v>
      </x:c>
      <x:c r="H11" s="14" t="str">
        <x:v>Ready for Review</x:v>
      </x:c>
    </x:row>
    <x:row r="12">
      <x:c r="A12" s="14" t="str">
        <x:v>FR-07</x:v>
      </x:c>
      <x:c r="B12" s="14" t="str">
        <x:v>Send breach alerts to the Warehouse Manager and QA Officer.</x:v>
      </x:c>
      <x:c r="C12" s="14" t="str">
        <x:v>Monitoring Service</x:v>
      </x:c>
      <x:c r="D12" s="14" t="str">
        <x:v>Must</x:v>
      </x:c>
      <x:c r="E12" s="14" t="str">
        <x:v>Alert is generated within 10 seconds after breach detection.</x:v>
      </x:c>
      <x:c r="F12" s="14" t="str">
        <x:v>UC-18</x:v>
      </x:c>
      <x:c r="G12" s="14" t="str">
        <x:v>Notification test</x:v>
      </x:c>
      <x:c r="H12" s="14" t="str">
        <x:v>Ready for Review</x:v>
      </x:c>
    </x:row>
    <x:row r="13">
      <x:c r="A13" s="14" t="str">
        <x:v>FR-08</x:v>
      </x:c>
      <x:c r="B13" s="14" t="str">
        <x:v>Automatically mark affected shipment as Quarantined after a confirmed temperature breach.</x:v>
      </x:c>
      <x:c r="C13" s="14" t="str">
        <x:v>Monitoring Service</x:v>
      </x:c>
      <x:c r="D13" s="14" t="str">
        <x:v>Must</x:v>
      </x:c>
      <x:c r="E13" s="14" t="str">
        <x:v>Quarantined shipments cannot be received as usable stock until QA approval is recorded.</x:v>
      </x:c>
      <x:c r="F13" s="14" t="str">
        <x:v>UC-09</x:v>
      </x:c>
      <x:c r="G13" s="14" t="str">
        <x:v>Functional + database state test</x:v>
      </x:c>
      <x:c r="H13" s="14" t="str">
        <x:v>Ready for Review</x:v>
      </x:c>
    </x:row>
    <x:row r="14">
      <x:c r="A14" s="14" t="str">
        <x:v>FR-09</x:v>
      </x:c>
      <x:c r="B14" s="14" t="str">
        <x:v>Allow QA Officer to review breach details and release or reject a quarantined shipment.</x:v>
      </x:c>
      <x:c r="C14" s="14" t="str">
        <x:v>Quality Assurance Officer</x:v>
      </x:c>
      <x:c r="D14" s="14" t="str">
        <x:v>Must</x:v>
      </x:c>
      <x:c r="E14" s="14" t="str">
        <x:v>Decision record includes result, reviewer ID, timestamp, and written justification.</x:v>
      </x:c>
      <x:c r="F14" s="14" t="str">
        <x:v>UC-10</x:v>
      </x:c>
      <x:c r="G14" s="14" t="str">
        <x:v>Functional test</x:v>
      </x:c>
      <x:c r="H14" s="14" t="str">
        <x:v>Ready for Review</x:v>
      </x:c>
    </x:row>
    <x:row r="15">
      <x:c r="A15" s="14" t="str">
        <x:v>FR-10</x:v>
      </x:c>
      <x:c r="B15" s="14" t="str">
        <x:v>Allow Hospital Pharmacist to scan shipment QR code and view shipment status before accepting delivery.</x:v>
      </x:c>
      <x:c r="C15" s="14" t="str">
        <x:v>Hospital Pharmacist</x:v>
      </x:c>
      <x:c r="D15" s="14" t="str">
        <x:v>Must</x:v>
      </x:c>
      <x:c r="E15" s="14" t="str">
        <x:v>Pharmacist cannot accept a shipment with status 'Quarantined' or 'Rejected'.</x:v>
      </x:c>
      <x:c r="F15" s="14" t="str">
        <x:v>UC-11</x:v>
      </x:c>
      <x:c r="G15" s="14" t="str">
        <x:v>Negative test</x:v>
      </x:c>
      <x:c r="H15" s="14" t="str">
        <x:v>Ready for Review</x:v>
      </x:c>
    </x:row>
    <x:row r="16">
      <x:c r="A16" s="14" t="str">
        <x:v>FR-11</x:v>
      </x:c>
      <x:c r="B16" s="14" t="str">
        <x:v>Allow Hospital Pharmacist to scan each batch QR code during receiving.</x:v>
      </x:c>
      <x:c r="C16" s="14" t="str">
        <x:v>Hospital Pharmacist</x:v>
      </x:c>
      <x:c r="D16" s="14" t="str">
        <x:v>Must</x:v>
      </x:c>
      <x:c r="E16" s="14" t="str">
        <x:v>Batch details, expiry date, and temperature compliance status display within 2 seconds.</x:v>
      </x:c>
      <x:c r="F16" s="14" t="str">
        <x:v>UC-12</x:v>
      </x:c>
      <x:c r="G16" s="14" t="str">
        <x:v>Performance + functional test</x:v>
      </x:c>
      <x:c r="H16" s="14" t="str">
        <x:v>Ready for Review</x:v>
      </x:c>
    </x:row>
    <x:row r="17">
      <x:c r="A17" s="14" t="str">
        <x:v>FR-12</x:v>
      </x:c>
      <x:c r="B17" s="14" t="str">
        <x:v>Allow Supplier to issue a recall notice for a specific medicine batch.</x:v>
      </x:c>
      <x:c r="C17" s="14" t="str">
        <x:v>Supplier</x:v>
      </x:c>
      <x:c r="D17" s="14" t="str">
        <x:v>Must</x:v>
      </x:c>
      <x:c r="E17" s="14" t="str">
        <x:v>Recall notice includes batch number, reason, severity, issue date, and supplier contact.</x:v>
      </x:c>
      <x:c r="F17" s="14" t="str">
        <x:v>UC-13</x:v>
      </x:c>
      <x:c r="G17" s="14" t="str">
        <x:v>Functional test</x:v>
      </x:c>
      <x:c r="H17" s="14" t="str">
        <x:v>Ready for Review</x:v>
      </x:c>
    </x:row>
    <x:row r="18">
      <x:c r="A18" s="14" t="str">
        <x:v>FR-13</x:v>
      </x:c>
      <x:c r="B18" s="14" t="str">
        <x:v>Identify all warehouses, shipments, hospitals, and pharmacies that received a recalled batch.</x:v>
      </x:c>
      <x:c r="C18" s="14" t="str">
        <x:v>Traceability Service</x:v>
      </x:c>
      <x:c r="D18" s="14" t="str">
        <x:v>Must</x:v>
      </x:c>
      <x:c r="E18" s="14" t="str">
        <x:v>Affected-location list is generated within 5 seconds for up to 10,000 movement records.</x:v>
      </x:c>
      <x:c r="F18" s="14" t="str">
        <x:v>UC-14</x:v>
      </x:c>
      <x:c r="G18" s="14" t="str">
        <x:v>Performance test</x:v>
      </x:c>
      <x:c r="H18" s="14" t="str">
        <x:v>Ready for Review</x:v>
      </x:c>
    </x:row>
    <x:row r="19">
      <x:c r="A19" s="14" t="str">
        <x:v>FR-14</x:v>
      </x:c>
      <x:c r="B19" s="14" t="str">
        <x:v>Notify affected users when a recall notice is issued.</x:v>
      </x:c>
      <x:c r="C19" s="14" t="str">
        <x:v>Notification Gateway</x:v>
      </x:c>
      <x:c r="D19" s="14" t="str">
        <x:v>Must</x:v>
      </x:c>
      <x:c r="E19" s="14" t="str">
        <x:v>Notifications are sent to all affected locations within 60 seconds after recall confirmation.</x:v>
      </x:c>
      <x:c r="F19" s="14" t="str">
        <x:v>UC-18</x:v>
      </x:c>
      <x:c r="G19" s="14" t="str">
        <x:v>Notification test</x:v>
      </x:c>
      <x:c r="H19" s="14" t="str">
        <x:v>Ready for Review</x:v>
      </x:c>
    </x:row>
    <x:row r="20">
      <x:c r="A20" s="14" t="str">
        <x:v>FR-15</x:v>
      </x:c>
      <x:c r="B20" s="14" t="str">
        <x:v>Generate PDF compliance report for selected shipment or batch history.</x:v>
      </x:c>
      <x:c r="C20" s="14" t="str">
        <x:v>Warehouse Manager / QA Officer</x:v>
      </x:c>
      <x:c r="D20" s="14" t="str">
        <x:v>Should</x:v>
      </x:c>
      <x:c r="E20" s="14" t="str">
        <x:v>Report includes shipment timeline, sensor readings, breach records, QA decisions, and receiving status.</x:v>
      </x:c>
      <x:c r="F20" s="14" t="str">
        <x:v>UC-15</x:v>
      </x:c>
      <x:c r="G20" s="14" t="str">
        <x:v>Report content test</x:v>
      </x:c>
      <x:c r="H20" s="14" t="str">
        <x:v>Ready for Review</x:v>
      </x:c>
    </x:row>
    <x:row r="21">
      <x:c r="A21" s="14" t="str">
        <x:v>FR-16</x:v>
      </x:c>
      <x:c r="B21" s="14" t="str">
        <x:v>Manage user accounts, roles, and account status.</x:v>
      </x:c>
      <x:c r="C21" s="14" t="str">
        <x:v>System Administrator</x:v>
      </x:c>
      <x:c r="D21" s="14" t="str">
        <x:v>Must</x:v>
      </x:c>
      <x:c r="E21" s="14" t="str">
        <x:v>A deactivated user is blocked from logging in immediately after account deactivation.</x:v>
      </x:c>
      <x:c r="F21" s="14" t="str">
        <x:v>UC-16</x:v>
      </x:c>
      <x:c r="G21" s="14" t="str">
        <x:v>Security test</x:v>
      </x:c>
      <x:c r="H21" s="14" t="str">
        <x:v>Ready for Review</x:v>
      </x:c>
    </x:row>
    <x:row r="22">
      <x:c r="A22" s="14" t="str">
        <x:v>FR-17</x:v>
      </x:c>
      <x:c r="B22" s="14" t="str">
        <x:v>Record audit logs for all critical actions.</x:v>
      </x:c>
      <x:c r="C22" s="14" t="str">
        <x:v>Audit Service</x:v>
      </x:c>
      <x:c r="D22" s="14" t="str">
        <x:v>Must</x:v>
      </x:c>
      <x:c r="E22" s="14" t="str">
        <x:v>Audit log includes actor ID, action type, timestamp, affected object ID, and old/new status.</x:v>
      </x:c>
      <x:c r="F22" s="14" t="str">
        <x:v>UC-17</x:v>
      </x:c>
      <x:c r="G22" s="14" t="str">
        <x:v>Audit sampling</x:v>
      </x:c>
      <x:c r="H22" s="14" t="str">
        <x:v>Ready for Review</x:v>
      </x:c>
    </x:row>
    <x:row r="23">
      <x:c r="A23" s="14" t="str">
        <x:v>FR-18</x:v>
      </x:c>
      <x:c r="B23" s="14" t="str">
        <x:v>Display operational dashboard showing active shipments, breaches, quarantine cases, pending QA reviews, and recalls.</x:v>
      </x:c>
      <x:c r="C23" s="14" t="str">
        <x:v>All Internal Users</x:v>
      </x:c>
      <x:c r="D23" s="14" t="str">
        <x:v>Should</x:v>
      </x:c>
      <x:c r="E23" s="14" t="str">
        <x:v>Dashboard refreshes automatically at least every 30 seconds.</x:v>
      </x:c>
      <x:c r="F23" s="14" t="str">
        <x:v>UC-17</x:v>
      </x:c>
      <x:c r="G23" s="14" t="str">
        <x:v>UI + timing test</x:v>
      </x:c>
      <x:c r="H23" s="14" t="str">
        <x:v>Ready for Review</x:v>
      </x:c>
    </x:row>
    <x:row r="27">
      <x:c r="A27" s="29" t="str">
        <x:v>NFR ID</x:v>
      </x:c>
      <x:c r="B27" s="29" t="str">
        <x:v>Category</x:v>
      </x:c>
      <x:c r="C27" s="29" t="str">
        <x:v>Measurable Requirement</x:v>
      </x:c>
      <x:c r="D27" s="29" t="str">
        <x:v>Numeric Target</x:v>
      </x:c>
      <x:c r="E27" s="29" t="str">
        <x:v>Verification Method</x:v>
      </x:c>
      <x:c r="F27" s="29" t="str">
        <x:v>Traced Features</x:v>
      </x:c>
      <x:c r="G27" s="29" t="str">
        <x:v>Status</x:v>
      </x:c>
    </x:row>
    <x:row r="28">
      <x:c r="A28" s="14" t="str">
        <x:v>NFR-01</x:v>
      </x:c>
      <x:c r="B28" s="14" t="str">
        <x:v>Performance</x:v>
      </x:c>
      <x:c r="C28" s="14" t="str">
        <x:v>Dashboard data shall display under expected operational load.</x:v>
      </x:c>
      <x:c r="D28" s="14" t="str">
        <x:v>&lt;= 3 seconds with 100 concurrent users</x:v>
      </x:c>
      <x:c r="E28" s="14" t="str">
        <x:v>Load test with simulated users</x:v>
      </x:c>
      <x:c r="F28" s="14" t="str">
        <x:v>FR-18</x:v>
      </x:c>
      <x:c r="G28" s="14" t="str">
        <x:v>Ready for Review</x:v>
      </x:c>
    </x:row>
    <x:row r="29">
      <x:c r="A29" s="14" t="str">
        <x:v>NFR-02</x:v>
      </x:c>
      <x:c r="B29" s="14" t="str">
        <x:v>Sensor Processing</x:v>
      </x:c>
      <x:c r="C29" s="14" t="str">
        <x:v>Incoming sensor readings shall be processed promptly.</x:v>
      </x:c>
      <x:c r="D29" s="14" t="str">
        <x:v>&lt;= 2 seconds after receipt</x:v>
      </x:c>
      <x:c r="E29" s="14" t="str">
        <x:v>Sensor integration simulation</x:v>
      </x:c>
      <x:c r="F29" s="14" t="str">
        <x:v>FR-05, FR-06</x:v>
      </x:c>
      <x:c r="G29" s="14" t="str">
        <x:v>Ready for Review</x:v>
      </x:c>
    </x:row>
    <x:row r="30">
      <x:c r="A30" s="14" t="str">
        <x:v>NFR-03</x:v>
      </x:c>
      <x:c r="B30" s="14" t="str">
        <x:v>Security</x:v>
      </x:c>
      <x:c r="C30" s="14" t="str">
        <x:v>All user communications shall be encrypted.</x:v>
      </x:c>
      <x:c r="D30" s="14" t="str">
        <x:v>100% HTTPS/TLS traffic</x:v>
      </x:c>
      <x:c r="E30" s="14" t="str">
        <x:v>Security configuration inspection</x:v>
      </x:c>
      <x:c r="F30" s="14" t="str">
        <x:v>FR-16</x:v>
      </x:c>
      <x:c r="G30" s="14" t="str">
        <x:v>Ready for Review</x:v>
      </x:c>
    </x:row>
    <x:row r="31">
      <x:c r="A31" s="14" t="str">
        <x:v>NFR-04</x:v>
      </x:c>
      <x:c r="B31" s="14" t="str">
        <x:v>Authentication</x:v>
      </x:c>
      <x:c r="C31" s="14" t="str">
        <x:v>User accounts shall be protected against repeated failed login attempts.</x:v>
      </x:c>
      <x:c r="D31" s="14" t="str">
        <x:v>Lock for 10 minutes after 5 failures</x:v>
      </x:c>
      <x:c r="E31" s="14" t="str">
        <x:v>Authentication test case</x:v>
      </x:c>
      <x:c r="F31" s="14" t="str">
        <x:v>FR-16</x:v>
      </x:c>
      <x:c r="G31" s="14" t="str">
        <x:v>Ready for Review</x:v>
      </x:c>
    </x:row>
    <x:row r="32">
      <x:c r="A32" s="14" t="str">
        <x:v>NFR-05</x:v>
      </x:c>
      <x:c r="B32" s="14" t="str">
        <x:v>Availability</x:v>
      </x:c>
      <x:c r="C32" s="14" t="str">
        <x:v>Core web application shall remain available for operational users.</x:v>
      </x:c>
      <x:c r="D32" s="14" t="str">
        <x:v>&gt;= 99.5% monthly availability</x:v>
      </x:c>
      <x:c r="E32" s="14" t="str">
        <x:v>Uptime monitoring report</x:v>
      </x:c>
      <x:c r="F32" s="14" t="str">
        <x:v>FR-05 to FR-18</x:v>
      </x:c>
      <x:c r="G32" s="14" t="str">
        <x:v>Ready for Review</x:v>
      </x:c>
    </x:row>
    <x:row r="33">
      <x:c r="A33" s="14" t="str">
        <x:v>NFR-06</x:v>
      </x:c>
      <x:c r="B33" s="14" t="str">
        <x:v>Auditability</x:v>
      </x:c>
      <x:c r="C33" s="14" t="str">
        <x:v>All critical actions shall be logged.</x:v>
      </x:c>
      <x:c r="D33" s="14" t="str">
        <x:v>100% of critical actions</x:v>
      </x:c>
      <x:c r="E33" s="14" t="str">
        <x:v>Audit log sampling</x:v>
      </x:c>
      <x:c r="F33" s="14" t="str">
        <x:v>FR-17</x:v>
      </x:c>
      <x:c r="G33" s="14" t="str">
        <x:v>Ready for Review</x:v>
      </x:c>
    </x:row>
    <x:row r="34">
      <x:c r="A34" s="14" t="str">
        <x:v>NFR-07</x:v>
      </x:c>
      <x:c r="B34" s="14" t="str">
        <x:v>Usability</x:v>
      </x:c>
      <x:c r="C34" s="14" t="str">
        <x:v>Trained hospital pharmacist shall complete receiving workflow quickly.</x:v>
      </x:c>
      <x:c r="D34" s="14" t="str">
        <x:v>&lt;= 3 minutes</x:v>
      </x:c>
      <x:c r="E34" s="14" t="str">
        <x:v>User acceptance test</x:v>
      </x:c>
      <x:c r="F34" s="14" t="str">
        <x:v>FR-10, FR-11</x:v>
      </x:c>
      <x:c r="G34" s="14" t="str">
        <x:v>Ready for Review</x:v>
      </x:c>
    </x:row>
    <x:row r="35">
      <x:c r="A35" s="14" t="str">
        <x:v>NFR-08</x:v>
      </x:c>
      <x:c r="B35" s="14" t="str">
        <x:v>Data Retention</x:v>
      </x:c>
      <x:c r="C35" s="14" t="str">
        <x:v>Sensor readings and audit logs shall be retained.</x:v>
      </x:c>
      <x:c r="D35" s="14" t="str">
        <x:v>&gt;= 5 years</x:v>
      </x:c>
      <x:c r="E35" s="14" t="str">
        <x:v>Database retention policy review</x:v>
      </x:c>
      <x:c r="F35" s="14" t="str">
        <x:v>FR-05, FR-17</x:v>
      </x:c>
      <x:c r="G35" s="14" t="str">
        <x:v>Ready for Review</x:v>
      </x:c>
    </x:row>
    <x:row r="36">
      <x:c r="A36" s="14" t="str">
        <x:v>NFR-09</x:v>
      </x:c>
      <x:c r="B36" s="14" t="str">
        <x:v>Compatibility</x:v>
      </x:c>
      <x:c r="C36" s="14" t="str">
        <x:v>Dashboard shall support modern browsers and tablet viewports.</x:v>
      </x:c>
      <x:c r="D36" s="14" t="str">
        <x:v>&gt;= 768 px width on Chrome/Edge/Safari/Firefox</x:v>
      </x:c>
      <x:c r="E36" s="14" t="str">
        <x:v>Browser compatibility test</x:v>
      </x:c>
      <x:c r="F36" s="14" t="str">
        <x:v>FR-18</x:v>
      </x:c>
      <x:c r="G36" s="14" t="str">
        <x:v>Ready for Review</x:v>
      </x:c>
    </x:row>
    <x:row r="37">
      <x:c r="A37" s="14" t="str">
        <x:v>NFR-10</x:v>
      </x:c>
      <x:c r="B37" s="14" t="str">
        <x:v>Business Rule</x:v>
      </x:c>
      <x:c r="C37" s="14" t="str">
        <x:v>Unsafe stock shall never enter usable inventory.</x:v>
      </x:c>
      <x:c r="D37" s="14" t="str">
        <x:v>0 quarantined/rejected shipments added to usable stock</x:v>
      </x:c>
      <x:c r="E37" s="14" t="str">
        <x:v>Functional + database state test</x:v>
      </x:c>
      <x:c r="F37" s="14" t="str">
        <x:v>FR-08, FR-10</x:v>
      </x:c>
      <x:c r="G37" s="14" t="str">
        <x:v>Ready for Review</x:v>
      </x:c>
    </x:row>
  </x:sheetData>
  <x:mergeCells>
    <x:mergeCell ref="A1:H1"/>
    <x:mergeCell ref="A3:H3"/>
  </x:mergeCells>
  <x:conditionalFormatting sqref="A5:H23">
    <x:cfRule type="expression" dxfId="0" priority="1">
      <x:formula>$D5="Must"</x:formula>
    </x:cfRule>
    <x:cfRule type="expression" dxfId="1" priority="2">
      <x:formula>$D5="Should"</x:formula>
    </x:cfRule>
    <x:cfRule type="expression" dxfId="2" priority="3">
      <x:formula>$D5="Could"</x:formula>
    </x:cfRule>
  </x:conditionalFormatting>
  <x:dataValidations count="2">
    <x:dataValidation type="list" sqref="D6:D23">
      <x:formula1>"Must,Should,Could,Won't"</x:formula1>
    </x:dataValidation>
    <x:dataValidation type="list" sqref="H6:H23">
      <x:formula1>"Not Started,In Progress,Ready for Review,Completed,Deferred"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7c3f59d1745644b5"/>
    <x:tablePart xmlns:r="http://schemas.openxmlformats.org/officeDocument/2006/relationships" r:id="R1f3ea63918d048a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44" hidden="0" customWidth="1"/>
    <x:col min="4" max="4" width="30" hidden="0" customWidth="1"/>
    <x:col min="5" max="5" width="12" hidden="0" customWidth="1"/>
    <x:col min="6" max="6" width="10" hidden="0" customWidth="1"/>
    <x:col min="7" max="7" width="12" hidden="0" customWidth="1"/>
    <x:col min="8" max="8" width="14" hidden="0" customWidth="1"/>
    <x:col min="9" max="9" width="10" hidden="0" customWidth="1"/>
    <x:col min="10" max="10" width="12" hidden="0" customWidth="1"/>
    <x:col min="11" max="11" width="10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8" hidden="0" customWidth="1"/>
    <x:col min="17" max="17" width="12" hidden="0" customWidth="1"/>
    <x:col min="18" max="18" width="34" hidden="0" customWidth="1"/>
    <x:col min="20" max="20" width="4" hidden="0" customWidth="1"/>
    <x:col min="21" max="21" width="4" hidden="0" customWidth="1"/>
    <x:col min="22" max="22" width="4" hidden="0" customWidth="1"/>
    <x:col min="23" max="23" width="4" hidden="0" customWidth="1"/>
    <x:col min="24" max="24" width="4" hidden="0" customWidth="1"/>
    <x:col min="25" max="25" width="4" hidden="0" customWidth="1"/>
    <x:col min="26" max="26" width="4" hidden="0" customWidth="1"/>
    <x:col min="27" max="27" width="4" hidden="0" customWidth="1"/>
    <x:col min="28" max="28" width="4" hidden="0" customWidth="1"/>
    <x:col min="29" max="29" width="4" hidden="0" customWidth="1"/>
    <x:col min="30" max="30" width="4" hidden="0" customWidth="1"/>
    <x:col min="31" max="31" width="4" hidden="0" customWidth="1"/>
    <x:col min="32" max="32" width="4" hidden="0" customWidth="1"/>
    <x:col min="33" max="33" width="4" hidden="0" customWidth="1"/>
    <x:col min="34" max="34" width="4" hidden="0" customWidth="1"/>
    <x:col min="35" max="35" width="4" hidden="0" customWidth="1"/>
    <x:col min="36" max="36" width="4" hidden="0" customWidth="1"/>
    <x:col min="37" max="37" width="4" hidden="0" customWidth="1"/>
    <x:col min="38" max="38" width="4" hidden="0" customWidth="1"/>
    <x:col min="39" max="39" width="4" hidden="0" customWidth="1"/>
    <x:col min="40" max="40" width="4" hidden="0" customWidth="1"/>
    <x:col min="41" max="41" width="4" hidden="0" customWidth="1"/>
    <x:col min="42" max="42" width="4" hidden="0" customWidth="1"/>
    <x:col min="43" max="43" width="4" hidden="0" customWidth="1"/>
    <x:col min="44" max="44" width="4" hidden="0" customWidth="1"/>
    <x:col min="45" max="45" width="4" hidden="0" customWidth="1"/>
    <x:col min="46" max="46" width="4" hidden="0" customWidth="1"/>
    <x:col min="47" max="47" width="4" hidden="0" customWidth="1"/>
    <x:col min="48" max="48" width="4" hidden="0" customWidth="1"/>
    <x:col min="49" max="49" width="4" hidden="0" customWidth="1"/>
    <x:col min="50" max="50" width="4" hidden="0" customWidth="1"/>
  </x:cols>
  <x:sheetData>
    <x:row r="1" ht="28" customHeight="1">
      <x:c r="A1" s="94" t="str">
        <x:v>ColdChainRx Work Breakdown Structure, Gantt Schedule, Baseline Tracking &amp; Critical Path</x:v>
      </x:c>
      <x:c r="B1" s="94"/>
      <x:c r="C1" s="94"/>
      <x:c r="D1" s="94"/>
      <x:c r="E1" s="94"/>
      <x:c r="F1" s="94"/>
      <x:c r="G1" s="94"/>
      <x:c r="H1" s="94"/>
      <x:c r="I1" s="94"/>
      <x:c r="J1" s="94"/>
      <x:c r="K1" s="94"/>
      <x:c r="L1" s="94"/>
      <x:c r="M1" s="94"/>
      <x:c r="N1" s="94"/>
      <x:c r="O1" s="94"/>
      <x:c r="P1" s="94"/>
      <x:c r="Q1" s="94"/>
      <x:c r="R1" s="94"/>
    </x:row>
    <x:row r="2" ht="20" customHeight="1">
      <x:c r="A2" s="41" t="str">
        <x:v>Project Start</x:v>
      </x:c>
      <x:c r="B2" s="44" t="n">
        <x:v>46183</x:v>
      </x:c>
      <x:c r="C2" s="41" t="str">
        <x:v>Target Submission</x:v>
      </x:c>
      <x:c r="D2" s="44" t="n">
        <x:v>46213</x:v>
      </x:c>
      <x:c r="E2" s="41" t="str">
        <x:v>Calendar</x:v>
      </x:c>
      <x:c r="F2" s="41" t="str">
        <x:v>Business/academic days</x:v>
      </x:c>
      <x:c r="G2" s="41" t="str">
        <x:v>Last Updated</x:v>
      </x:c>
      <x:c r="H2" s="44" t="n">
        <x:v>46183</x:v>
      </x:c>
    </x:row>
    <x:row r="3">
      <x:c r="T3" s="59" t="str">
        <x:v>Daily Gantt Timeline (red = critical path, blue = non-critical tasks)</x:v>
      </x:c>
      <x:c r="U3" s="59"/>
      <x:c r="V3" s="59"/>
      <x:c r="W3" s="59"/>
      <x:c r="X3" s="59"/>
      <x:c r="Y3" s="59"/>
      <x:c r="Z3" s="59"/>
      <x:c r="AA3" s="59"/>
      <x:c r="AB3" s="59"/>
      <x:c r="AC3" s="59"/>
      <x:c r="AD3" s="59"/>
      <x:c r="AE3" s="59"/>
      <x:c r="AF3" s="59"/>
      <x:c r="AG3" s="59"/>
      <x:c r="AH3" s="59"/>
      <x:c r="AI3" s="59"/>
      <x:c r="AJ3" s="59"/>
      <x:c r="AK3" s="59"/>
      <x:c r="AL3" s="59"/>
      <x:c r="AM3" s="59"/>
      <x:c r="AN3" s="59"/>
      <x:c r="AO3" s="59"/>
      <x:c r="AP3" s="59"/>
      <x:c r="AQ3" s="59"/>
      <x:c r="AR3" s="59"/>
      <x:c r="AS3" s="59"/>
      <x:c r="AT3" s="59"/>
      <x:c r="AU3" s="59"/>
      <x:c r="AV3" s="59"/>
      <x:c r="AW3" s="59"/>
      <x:c r="AX3" s="59"/>
    </x:row>
    <x:row r="4">
      <x:c r="A4" s="23" t="str">
        <x:v>WBS ID</x:v>
      </x:c>
      <x:c r="B4" s="23" t="str">
        <x:v>Level</x:v>
      </x:c>
      <x:c r="C4" s="23" t="str">
        <x:v>Work Package / Activity</x:v>
      </x:c>
      <x:c r="D4" s="23" t="str">
        <x:v>Owner</x:v>
      </x:c>
      <x:c r="E4" s="23" t="str">
        <x:v>Start</x:v>
      </x:c>
      <x:c r="F4" s="23" t="str">
        <x:v>Duration</x:v>
      </x:c>
      <x:c r="G4" s="23" t="str">
        <x:v>Finish</x:v>
      </x:c>
      <x:c r="H4" s="23" t="str">
        <x:v>Predecessor</x:v>
      </x:c>
      <x:c r="I4" s="23" t="str">
        <x:v>Dep. Type</x:v>
      </x:c>
      <x:c r="J4" s="23" t="str">
        <x:v>Milestone</x:v>
      </x:c>
      <x:c r="K4" s="23" t="str">
        <x:v>Critical</x:v>
      </x:c>
      <x:c r="L4" s="23" t="str">
        <x:v>Baseline Start</x:v>
      </x:c>
      <x:c r="M4" s="23" t="str">
        <x:v>Baseline Finish</x:v>
      </x:c>
      <x:c r="N4" s="23" t="str">
        <x:v>Actual Start</x:v>
      </x:c>
      <x:c r="O4" s="23" t="str">
        <x:v>Actual Finish</x:v>
      </x:c>
      <x:c r="P4" s="23" t="str">
        <x:v>Status</x:v>
      </x:c>
      <x:c r="Q4" s="23" t="str">
        <x:v>% Complete</x:v>
      </x:c>
      <x:c r="R4" s="23" t="str">
        <x:v>Evidence / Output</x:v>
      </x:c>
      <x:c r="T4" s="63" t="n">
        <x:v>46183</x:v>
      </x:c>
      <x:c r="U4" s="63" t="n">
        <x:v>46184</x:v>
      </x:c>
      <x:c r="V4" s="63" t="n">
        <x:v>46185</x:v>
      </x:c>
      <x:c r="W4" s="63" t="n">
        <x:v>46186</x:v>
      </x:c>
      <x:c r="X4" s="63" t="n">
        <x:v>46187</x:v>
      </x:c>
      <x:c r="Y4" s="63" t="n">
        <x:v>46188</x:v>
      </x:c>
      <x:c r="Z4" s="63" t="n">
        <x:v>46189</x:v>
      </x:c>
      <x:c r="AA4" s="63" t="n">
        <x:v>46190</x:v>
      </x:c>
      <x:c r="AB4" s="63" t="n">
        <x:v>46191</x:v>
      </x:c>
      <x:c r="AC4" s="63" t="n">
        <x:v>46192</x:v>
      </x:c>
      <x:c r="AD4" s="63" t="n">
        <x:v>46193</x:v>
      </x:c>
      <x:c r="AE4" s="63" t="n">
        <x:v>46194</x:v>
      </x:c>
      <x:c r="AF4" s="63" t="n">
        <x:v>46195</x:v>
      </x:c>
      <x:c r="AG4" s="63" t="n">
        <x:v>46196</x:v>
      </x:c>
      <x:c r="AH4" s="63" t="n">
        <x:v>46197</x:v>
      </x:c>
      <x:c r="AI4" s="63" t="n">
        <x:v>46198</x:v>
      </x:c>
      <x:c r="AJ4" s="63" t="n">
        <x:v>46199</x:v>
      </x:c>
      <x:c r="AK4" s="63" t="n">
        <x:v>46200</x:v>
      </x:c>
      <x:c r="AL4" s="63" t="n">
        <x:v>46201</x:v>
      </x:c>
      <x:c r="AM4" s="63" t="n">
        <x:v>46202</x:v>
      </x:c>
      <x:c r="AN4" s="63" t="n">
        <x:v>46203</x:v>
      </x:c>
      <x:c r="AO4" s="63" t="n">
        <x:v>46204</x:v>
      </x:c>
      <x:c r="AP4" s="63" t="n">
        <x:v>46205</x:v>
      </x:c>
      <x:c r="AQ4" s="63" t="n">
        <x:v>46206</x:v>
      </x:c>
      <x:c r="AR4" s="63" t="n">
        <x:v>46207</x:v>
      </x:c>
      <x:c r="AS4" s="63" t="n">
        <x:v>46208</x:v>
      </x:c>
      <x:c r="AT4" s="63" t="n">
        <x:v>46209</x:v>
      </x:c>
      <x:c r="AU4" s="63" t="n">
        <x:v>46210</x:v>
      </x:c>
      <x:c r="AV4" s="63" t="n">
        <x:v>46211</x:v>
      </x:c>
      <x:c r="AW4" s="63" t="n">
        <x:v>46212</x:v>
      </x:c>
      <x:c r="AX4" s="63" t="n">
        <x:v>46213</x:v>
      </x:c>
    </x:row>
    <x:row r="5">
      <x:c r="A5" s="14" t="str">
        <x:v>1.0</x:v>
      </x:c>
      <x:c r="B5" s="14" t="n">
        <x:v>1</x:v>
      </x:c>
      <x:c r="C5" s="14" t="str">
        <x:v>Project Initiation &amp; Scope</x:v>
      </x:c>
      <x:c r="D5" s="14" t="str">
        <x:v>All Members</x:v>
      </x:c>
      <x:c r="E5" s="52" t="n">
        <x:v>46183</x:v>
      </x:c>
      <x:c r="F5" s="53" t="n">
        <x:v>2</x:v>
      </x:c>
      <x:c r="G5" s="52" t="n">
        <x:f>E5+F5-1</x:f>
        <x:v>46184</x:v>
      </x:c>
      <x:c r="H5" s="14" t="str"/>
      <x:c r="I5" s="14" t="str">
        <x:v>FS</x:v>
      </x:c>
      <x:c r="J5" s="14" t="str">
        <x:v>Yes</x:v>
      </x:c>
      <x:c r="K5" s="14" t="str">
        <x:v>No</x:v>
      </x:c>
      <x:c r="L5" s="52" t="n">
        <x:v>46183</x:v>
      </x:c>
      <x:c r="M5" s="52" t="n">
        <x:f>L5+F5-1</x:f>
        <x:v>46184</x:v>
      </x:c>
      <x:c r="N5" s="52" t="str"/>
      <x:c r="O5" s="52" t="str"/>
      <x:c r="P5" s="14" t="str">
        <x:v>Completed</x:v>
      </x:c>
      <x:c r="Q5" s="54" t="n">
        <x:v>1</x:v>
      </x:c>
      <x:c r="R5" s="14" t="str">
        <x:v>Approved topic and project charter</x:v>
      </x:c>
    </x:row>
    <x:row r="6">
      <x:c r="A6" s="14" t="str">
        <x:v>1.1</x:v>
      </x:c>
      <x:c r="B6" s="14" t="n">
        <x:v>2</x:v>
      </x:c>
      <x:c r="C6" s="14" t="str">
        <x:v>Topic approval and uniqueness confirmation</x:v>
      </x:c>
      <x:c r="D6" s="14" t="str">
        <x:v>Member 1 - Requirements Lead</x:v>
      </x:c>
      <x:c r="E6" s="52" t="n">
        <x:v>46183</x:v>
      </x:c>
      <x:c r="F6" s="53" t="n">
        <x:v>1</x:v>
      </x:c>
      <x:c r="G6" s="52" t="n">
        <x:f>E6+F6-1</x:f>
        <x:v>46183</x:v>
      </x:c>
      <x:c r="H6" s="14" t="str"/>
      <x:c r="I6" s="14" t="str">
        <x:v>FS</x:v>
      </x:c>
      <x:c r="J6" s="14" t="str">
        <x:v>Yes</x:v>
      </x:c>
      <x:c r="K6" s="14" t="str">
        <x:v>No</x:v>
      </x:c>
      <x:c r="L6" s="52" t="n">
        <x:v>46183</x:v>
      </x:c>
      <x:c r="M6" s="52" t="n">
        <x:f>L6+F6-1</x:f>
        <x:v>46183</x:v>
      </x:c>
      <x:c r="N6" s="52" t="str"/>
      <x:c r="O6" s="52" t="str"/>
      <x:c r="P6" s="14" t="str">
        <x:v>Completed</x:v>
      </x:c>
      <x:c r="Q6" s="54" t="n">
        <x:v>1</x:v>
      </x:c>
      <x:c r="R6" s="14" t="str">
        <x:v>Instructor approval evidence</x:v>
      </x:c>
    </x:row>
    <x:row r="7">
      <x:c r="A7" s="14" t="str">
        <x:v>1.1.1</x:v>
      </x:c>
      <x:c r="B7" s="14" t="n">
        <x:v>3</x:v>
      </x:c>
      <x:c r="C7" s="14" t="str">
        <x:v>Submit ColdChainRx proposal</x:v>
      </x:c>
      <x:c r="D7" s="14" t="str">
        <x:v>Member 1 - Requirements Lead</x:v>
      </x:c>
      <x:c r="E7" s="52" t="n">
        <x:v>46183</x:v>
      </x:c>
      <x:c r="F7" s="53" t="n">
        <x:v>1</x:v>
      </x:c>
      <x:c r="G7" s="52" t="n">
        <x:f>E7+F7-1</x:f>
        <x:v>46183</x:v>
      </x:c>
      <x:c r="H7" s="14" t="str"/>
      <x:c r="I7" s="14" t="str">
        <x:v>FS</x:v>
      </x:c>
      <x:c r="J7" s="14" t="str">
        <x:v>No</x:v>
      </x:c>
      <x:c r="K7" s="14" t="str">
        <x:v>Yes</x:v>
      </x:c>
      <x:c r="L7" s="52" t="n">
        <x:v>46183</x:v>
      </x:c>
      <x:c r="M7" s="52" t="n">
        <x:f>L7+F7-1</x:f>
        <x:v>46183</x:v>
      </x:c>
      <x:c r="N7" s="52" t="str"/>
      <x:c r="O7" s="52" t="str"/>
      <x:c r="P7" s="14" t="str">
        <x:v>Completed</x:v>
      </x:c>
      <x:c r="Q7" s="54" t="n">
        <x:v>1</x:v>
      </x:c>
      <x:c r="R7" s="14" t="str">
        <x:v>Proposal text</x:v>
      </x:c>
    </x:row>
    <x:row r="8">
      <x:c r="A8" s="14" t="str">
        <x:v>1.2</x:v>
      </x:c>
      <x:c r="B8" s="14" t="n">
        <x:v>2</x:v>
      </x:c>
      <x:c r="C8" s="14" t="str">
        <x:v>Stakeholder and persona analysis</x:v>
      </x:c>
      <x:c r="D8" s="14" t="str">
        <x:v>Member 1 - Requirements Lead</x:v>
      </x:c>
      <x:c r="E8" s="52" t="n">
        <x:v>46184</x:v>
      </x:c>
      <x:c r="F8" s="53" t="n">
        <x:v>1</x:v>
      </x:c>
      <x:c r="G8" s="52" t="n">
        <x:f>E8+F8-1</x:f>
        <x:v>46184</x:v>
      </x:c>
      <x:c r="H8" s="14" t="str">
        <x:v>1.1</x:v>
      </x:c>
      <x:c r="I8" s="14" t="str">
        <x:v>FS</x:v>
      </x:c>
      <x:c r="J8" s="14" t="str">
        <x:v>No</x:v>
      </x:c>
      <x:c r="K8" s="14" t="str">
        <x:v>No</x:v>
      </x:c>
      <x:c r="L8" s="52" t="n">
        <x:v>46184</x:v>
      </x:c>
      <x:c r="M8" s="52" t="n">
        <x:f>L8+F8-1</x:f>
        <x:v>46184</x:v>
      </x:c>
      <x:c r="N8" s="52" t="str"/>
      <x:c r="O8" s="52" t="str"/>
      <x:c r="P8" s="14" t="str">
        <x:v>Completed</x:v>
      </x:c>
      <x:c r="Q8" s="54" t="n">
        <x:v>1</x:v>
      </x:c>
      <x:c r="R8" s="14" t="str">
        <x:v>Persona list</x:v>
      </x:c>
    </x:row>
    <x:row r="9">
      <x:c r="A9" s="14" t="str">
        <x:v>1.2.1</x:v>
      </x:c>
      <x:c r="B9" s="14" t="n">
        <x:v>3</x:v>
      </x:c>
      <x:c r="C9" s="14" t="str">
        <x:v>Define in-scope / out-of-scope and MoSCoW priorities</x:v>
      </x:c>
      <x:c r="D9" s="14" t="str">
        <x:v>Member 1 - Requirements Lead</x:v>
      </x:c>
      <x:c r="E9" s="52" t="n">
        <x:v>46184</x:v>
      </x:c>
      <x:c r="F9" s="53" t="n">
        <x:v>1</x:v>
      </x:c>
      <x:c r="G9" s="52" t="n">
        <x:f>E9+F9-1</x:f>
        <x:v>46184</x:v>
      </x:c>
      <x:c r="H9" s="14" t="str">
        <x:v>1.1.1</x:v>
      </x:c>
      <x:c r="I9" s="14" t="str">
        <x:v>FS</x:v>
      </x:c>
      <x:c r="J9" s="14" t="str">
        <x:v>No</x:v>
      </x:c>
      <x:c r="K9" s="14" t="str">
        <x:v>Yes</x:v>
      </x:c>
      <x:c r="L9" s="52" t="n">
        <x:v>46184</x:v>
      </x:c>
      <x:c r="M9" s="52" t="n">
        <x:f>L9+F9-1</x:f>
        <x:v>46184</x:v>
      </x:c>
      <x:c r="N9" s="52" t="str"/>
      <x:c r="O9" s="52" t="str"/>
      <x:c r="P9" s="14" t="str">
        <x:v>Completed</x:v>
      </x:c>
      <x:c r="Q9" s="54" t="n">
        <x:v>1</x:v>
      </x:c>
      <x:c r="R9" s="14" t="str">
        <x:v>Scope baseline</x:v>
      </x:c>
    </x:row>
    <x:row r="10">
      <x:c r="A10" s="14" t="str">
        <x:v>2.0</x:v>
      </x:c>
      <x:c r="B10" s="14" t="n">
        <x:v>1</x:v>
      </x:c>
      <x:c r="C10" s="14" t="str">
        <x:v>Requirements Specification</x:v>
      </x:c>
      <x:c r="D10" s="14" t="str">
        <x:v>Member 1 - Requirements Lead</x:v>
      </x:c>
      <x:c r="E10" s="52" t="n">
        <x:v>46185</x:v>
      </x:c>
      <x:c r="F10" s="53" t="n">
        <x:v>5</x:v>
      </x:c>
      <x:c r="G10" s="52" t="n">
        <x:f>E10+F10-1</x:f>
        <x:v>46189</x:v>
      </x:c>
      <x:c r="H10" s="14" t="str">
        <x:v>1.0</x:v>
      </x:c>
      <x:c r="I10" s="14" t="str">
        <x:v>FS</x:v>
      </x:c>
      <x:c r="J10" s="14" t="str">
        <x:v>Yes</x:v>
      </x:c>
      <x:c r="K10" s="14" t="str">
        <x:v>No</x:v>
      </x:c>
      <x:c r="L10" s="52" t="n">
        <x:v>46185</x:v>
      </x:c>
      <x:c r="M10" s="52" t="n">
        <x:f>L10+F10-1</x:f>
        <x:v>46189</x:v>
      </x:c>
      <x:c r="N10" s="52" t="str"/>
      <x:c r="O10" s="52" t="str"/>
      <x:c r="P10" s="14" t="str">
        <x:v>In Progress</x:v>
      </x:c>
      <x:c r="Q10" s="54" t="n">
        <x:v>0.7</x:v>
      </x:c>
      <x:c r="R10" s="14" t="str">
        <x:v>SRS requirement section</x:v>
      </x:c>
    </x:row>
    <x:row r="11">
      <x:c r="A11" s="14" t="str">
        <x:v>2.1</x:v>
      </x:c>
      <x:c r="B11" s="14" t="n">
        <x:v>2</x:v>
      </x:c>
      <x:c r="C11" s="14" t="str">
        <x:v>Draft 18 functional requirements</x:v>
      </x:c>
      <x:c r="D11" s="14" t="str">
        <x:v>Member 1 - Requirements Lead</x:v>
      </x:c>
      <x:c r="E11" s="52" t="n">
        <x:v>46185</x:v>
      </x:c>
      <x:c r="F11" s="53" t="n">
        <x:v>2</x:v>
      </x:c>
      <x:c r="G11" s="52" t="n">
        <x:f>E11+F11-1</x:f>
        <x:v>46186</x:v>
      </x:c>
      <x:c r="H11" s="14" t="str">
        <x:v>1.2</x:v>
      </x:c>
      <x:c r="I11" s="14" t="str">
        <x:v>FS</x:v>
      </x:c>
      <x:c r="J11" s="14" t="str">
        <x:v>No</x:v>
      </x:c>
      <x:c r="K11" s="14" t="str">
        <x:v>Yes</x:v>
      </x:c>
      <x:c r="L11" s="52" t="n">
        <x:v>46185</x:v>
      </x:c>
      <x:c r="M11" s="52" t="n">
        <x:f>L11+F11-1</x:f>
        <x:v>46186</x:v>
      </x:c>
      <x:c r="N11" s="52" t="str"/>
      <x:c r="O11" s="52" t="str"/>
      <x:c r="P11" s="14" t="str">
        <x:v>In Progress</x:v>
      </x:c>
      <x:c r="Q11" s="54" t="n">
        <x:v>0.8</x:v>
      </x:c>
      <x:c r="R11" s="14" t="str">
        <x:v>FR register</x:v>
      </x:c>
    </x:row>
    <x:row r="12">
      <x:c r="A12" s="14" t="str">
        <x:v>2.1.1</x:v>
      </x:c>
      <x:c r="B12" s="14" t="n">
        <x:v>3</x:v>
      </x:c>
      <x:c r="C12" s="14" t="str">
        <x:v>Write acceptance criteria for every FR</x:v>
      </x:c>
      <x:c r="D12" s="14" t="str">
        <x:v>Member 1 - Requirements Lead</x:v>
      </x:c>
      <x:c r="E12" s="52" t="n">
        <x:v>46186</x:v>
      </x:c>
      <x:c r="F12" s="53" t="n">
        <x:v>2</x:v>
      </x:c>
      <x:c r="G12" s="52" t="n">
        <x:f>E12+F12-1</x:f>
        <x:v>46187</x:v>
      </x:c>
      <x:c r="H12" s="14" t="str">
        <x:v>2.1</x:v>
      </x:c>
      <x:c r="I12" s="14" t="str">
        <x:v>SS</x:v>
      </x:c>
      <x:c r="J12" s="14" t="str">
        <x:v>No</x:v>
      </x:c>
      <x:c r="K12" s="14" t="str">
        <x:v>Yes</x:v>
      </x:c>
      <x:c r="L12" s="52" t="n">
        <x:v>46186</x:v>
      </x:c>
      <x:c r="M12" s="52" t="n">
        <x:f>L12+F12-1</x:f>
        <x:v>46187</x:v>
      </x:c>
      <x:c r="N12" s="52" t="str"/>
      <x:c r="O12" s="52" t="str"/>
      <x:c r="P12" s="14" t="str">
        <x:v>In Progress</x:v>
      </x:c>
      <x:c r="Q12" s="54" t="n">
        <x:v>0.6</x:v>
      </x:c>
      <x:c r="R12" s="14" t="str">
        <x:v>Testable acceptance criteria</x:v>
      </x:c>
    </x:row>
    <x:row r="13">
      <x:c r="A13" s="14" t="str">
        <x:v>2.2</x:v>
      </x:c>
      <x:c r="B13" s="14" t="n">
        <x:v>2</x:v>
      </x:c>
      <x:c r="C13" s="14" t="str">
        <x:v>Define 10 measurable non-functional requirements</x:v>
      </x:c>
      <x:c r="D13" s="14" t="str">
        <x:v>Member 1 - Requirements Lead</x:v>
      </x:c>
      <x:c r="E13" s="52" t="n">
        <x:v>46187</x:v>
      </x:c>
      <x:c r="F13" s="53" t="n">
        <x:v>2</x:v>
      </x:c>
      <x:c r="G13" s="52" t="n">
        <x:f>E13+F13-1</x:f>
        <x:v>46188</x:v>
      </x:c>
      <x:c r="H13" s="14" t="str">
        <x:v>2.1</x:v>
      </x:c>
      <x:c r="I13" s="14" t="str">
        <x:v>FS</x:v>
      </x:c>
      <x:c r="J13" s="14" t="str">
        <x:v>No</x:v>
      </x:c>
      <x:c r="K13" s="14" t="str">
        <x:v>Yes</x:v>
      </x:c>
      <x:c r="L13" s="52" t="n">
        <x:v>46187</x:v>
      </x:c>
      <x:c r="M13" s="52" t="n">
        <x:f>L13+F13-1</x:f>
        <x:v>46188</x:v>
      </x:c>
      <x:c r="N13" s="52" t="str"/>
      <x:c r="O13" s="52" t="str"/>
      <x:c r="P13" s="14" t="str">
        <x:v>In Progress</x:v>
      </x:c>
      <x:c r="Q13" s="54" t="n">
        <x:v>0.6</x:v>
      </x:c>
      <x:c r="R13" s="14" t="str">
        <x:v>NFR register</x:v>
      </x:c>
    </x:row>
    <x:row r="14">
      <x:c r="A14" s="14" t="str">
        <x:v>2.3</x:v>
      </x:c>
      <x:c r="B14" s="14" t="n">
        <x:v>2</x:v>
      </x:c>
      <x:c r="C14" s="14" t="str">
        <x:v>Define external interfaces and operating environment</x:v>
      </x:c>
      <x:c r="D14" s="14" t="str">
        <x:v>Member 1 - Requirements Lead</x:v>
      </x:c>
      <x:c r="E14" s="52" t="n">
        <x:v>46188</x:v>
      </x:c>
      <x:c r="F14" s="53" t="n">
        <x:v>2</x:v>
      </x:c>
      <x:c r="G14" s="52" t="n">
        <x:f>E14+F14-1</x:f>
        <x:v>46189</x:v>
      </x:c>
      <x:c r="H14" s="14" t="str">
        <x:v>2.2</x:v>
      </x:c>
      <x:c r="I14" s="14" t="str">
        <x:v>FS</x:v>
      </x:c>
      <x:c r="J14" s="14" t="str">
        <x:v>No</x:v>
      </x:c>
      <x:c r="K14" s="14" t="str">
        <x:v>No</x:v>
      </x:c>
      <x:c r="L14" s="52" t="n">
        <x:v>46188</x:v>
      </x:c>
      <x:c r="M14" s="52" t="n">
        <x:f>L14+F14-1</x:f>
        <x:v>46189</x:v>
      </x:c>
      <x:c r="N14" s="52" t="str"/>
      <x:c r="O14" s="52" t="str"/>
      <x:c r="P14" s="14" t="str">
        <x:v>Not Started</x:v>
      </x:c>
      <x:c r="Q14" s="54" t="n">
        <x:v>0</x:v>
      </x:c>
      <x:c r="R14" s="14" t="str">
        <x:v>Interface section</x:v>
      </x:c>
    </x:row>
    <x:row r="15">
      <x:c r="A15" s="14" t="str">
        <x:v>3.0</x:v>
      </x:c>
      <x:c r="B15" s="14" t="n">
        <x:v>1</x:v>
      </x:c>
      <x:c r="C15" s="14" t="str">
        <x:v>Project Planning</x:v>
      </x:c>
      <x:c r="D15" s="14" t="str">
        <x:v>Member 3 - Prototype/QA Lead</x:v>
      </x:c>
      <x:c r="E15" s="52" t="n">
        <x:v>46188</x:v>
      </x:c>
      <x:c r="F15" s="53" t="n">
        <x:v>5</x:v>
      </x:c>
      <x:c r="G15" s="52" t="n">
        <x:f>E15+F15-1</x:f>
        <x:v>46192</x:v>
      </x:c>
      <x:c r="H15" s="14" t="str">
        <x:v>2.0</x:v>
      </x:c>
      <x:c r="I15" s="14" t="str">
        <x:v>FS</x:v>
      </x:c>
      <x:c r="J15" s="14" t="str">
        <x:v>Yes</x:v>
      </x:c>
      <x:c r="K15" s="14" t="str">
        <x:v>No</x:v>
      </x:c>
      <x:c r="L15" s="52" t="n">
        <x:v>46188</x:v>
      </x:c>
      <x:c r="M15" s="52" t="n">
        <x:f>L15+F15-1</x:f>
        <x:v>46192</x:v>
      </x:c>
      <x:c r="N15" s="52" t="str"/>
      <x:c r="O15" s="52" t="str"/>
      <x:c r="P15" s="14" t="str">
        <x:v>Not Started</x:v>
      </x:c>
      <x:c r="Q15" s="54" t="n">
        <x:v>0</x:v>
      </x:c>
      <x:c r="R15" s="14" t="str">
        <x:v>WBS, Gantt, risks</x:v>
      </x:c>
    </x:row>
    <x:row r="16">
      <x:c r="A16" s="14" t="str">
        <x:v>3.1</x:v>
      </x:c>
      <x:c r="B16" s="14" t="n">
        <x:v>2</x:v>
      </x:c>
      <x:c r="C16" s="14" t="str">
        <x:v>Build WBS and Gantt schedule</x:v>
      </x:c>
      <x:c r="D16" s="14" t="str">
        <x:v>Member 3 - Prototype/QA Lead</x:v>
      </x:c>
      <x:c r="E16" s="52" t="n">
        <x:v>46188</x:v>
      </x:c>
      <x:c r="F16" s="53" t="n">
        <x:v>2</x:v>
      </x:c>
      <x:c r="G16" s="52" t="n">
        <x:f>E16+F16-1</x:f>
        <x:v>46189</x:v>
      </x:c>
      <x:c r="H16" s="14" t="str">
        <x:v>2.1</x:v>
      </x:c>
      <x:c r="I16" s="14" t="str">
        <x:v>FS</x:v>
      </x:c>
      <x:c r="J16" s="14" t="str">
        <x:v>No</x:v>
      </x:c>
      <x:c r="K16" s="14" t="str">
        <x:v>No</x:v>
      </x:c>
      <x:c r="L16" s="52" t="n">
        <x:v>46188</x:v>
      </x:c>
      <x:c r="M16" s="52" t="n">
        <x:f>L16+F16-1</x:f>
        <x:v>46189</x:v>
      </x:c>
      <x:c r="N16" s="52" t="str"/>
      <x:c r="O16" s="52" t="str"/>
      <x:c r="P16" s="14" t="str">
        <x:v>Not Started</x:v>
      </x:c>
      <x:c r="Q16" s="54" t="n">
        <x:v>0</x:v>
      </x:c>
      <x:c r="R16" s="14" t="str">
        <x:v>Excel Gantt</x:v>
      </x:c>
    </x:row>
    <x:row r="17">
      <x:c r="A17" s="14" t="str">
        <x:v>3.2</x:v>
      </x:c>
      <x:c r="B17" s="14" t="n">
        <x:v>2</x:v>
      </x:c>
      <x:c r="C17" s="14" t="str">
        <x:v>Create risk register and risk matrix</x:v>
      </x:c>
      <x:c r="D17" s="14" t="str">
        <x:v>Member 3 - Prototype/QA Lead</x:v>
      </x:c>
      <x:c r="E17" s="52" t="n">
        <x:v>46189</x:v>
      </x:c>
      <x:c r="F17" s="53" t="n">
        <x:v>2</x:v>
      </x:c>
      <x:c r="G17" s="52" t="n">
        <x:f>E17+F17-1</x:f>
        <x:v>46190</x:v>
      </x:c>
      <x:c r="H17" s="14" t="str">
        <x:v>3.1</x:v>
      </x:c>
      <x:c r="I17" s="14" t="str">
        <x:v>SS</x:v>
      </x:c>
      <x:c r="J17" s="14" t="str">
        <x:v>No</x:v>
      </x:c>
      <x:c r="K17" s="14" t="str">
        <x:v>No</x:v>
      </x:c>
      <x:c r="L17" s="52" t="n">
        <x:v>46189</x:v>
      </x:c>
      <x:c r="M17" s="52" t="n">
        <x:f>L17+F17-1</x:f>
        <x:v>46190</x:v>
      </x:c>
      <x:c r="N17" s="52" t="str"/>
      <x:c r="O17" s="52" t="str"/>
      <x:c r="P17" s="14" t="str">
        <x:v>Not Started</x:v>
      </x:c>
      <x:c r="Q17" s="54" t="n">
        <x:v>0</x:v>
      </x:c>
      <x:c r="R17" s="14" t="str">
        <x:v>Risk register</x:v>
      </x:c>
    </x:row>
    <x:row r="18">
      <x:c r="A18" s="14" t="str">
        <x:v>3.3</x:v>
      </x:c>
      <x:c r="B18" s="14" t="n">
        <x:v>2</x:v>
      </x:c>
      <x:c r="C18" s="14" t="str">
        <x:v>Create traceability matrix template</x:v>
      </x:c>
      <x:c r="D18" s="14" t="str">
        <x:v>Member 3 - Prototype/QA Lead</x:v>
      </x:c>
      <x:c r="E18" s="52" t="n">
        <x:v>46191</x:v>
      </x:c>
      <x:c r="F18" s="53" t="n">
        <x:v>2</x:v>
      </x:c>
      <x:c r="G18" s="52" t="n">
        <x:f>E18+F18-1</x:f>
        <x:v>46192</x:v>
      </x:c>
      <x:c r="H18" s="14" t="str">
        <x:v>2.1.1</x:v>
      </x:c>
      <x:c r="I18" s="14" t="str">
        <x:v>FS</x:v>
      </x:c>
      <x:c r="J18" s="14" t="str">
        <x:v>No</x:v>
      </x:c>
      <x:c r="K18" s="14" t="str">
        <x:v>Yes</x:v>
      </x:c>
      <x:c r="L18" s="52" t="n">
        <x:v>46191</x:v>
      </x:c>
      <x:c r="M18" s="52" t="n">
        <x:f>L18+F18-1</x:f>
        <x:v>46192</x:v>
      </x:c>
      <x:c r="N18" s="52" t="str"/>
      <x:c r="O18" s="52" t="str"/>
      <x:c r="P18" s="14" t="str">
        <x:v>Not Started</x:v>
      </x:c>
      <x:c r="Q18" s="54" t="n">
        <x:v>0</x:v>
      </x:c>
      <x:c r="R18" s="14" t="str">
        <x:v>Traceability matrix</x:v>
      </x:c>
    </x:row>
    <x:row r="19">
      <x:c r="A19" s="14" t="str">
        <x:v>4.0</x:v>
      </x:c>
      <x:c r="B19" s="14" t="n">
        <x:v>1</x:v>
      </x:c>
      <x:c r="C19" s="14" t="str">
        <x:v>System Design Package</x:v>
      </x:c>
      <x:c r="D19" s="14" t="str">
        <x:v>Member 2 - UML/Design Lead</x:v>
      </x:c>
      <x:c r="E19" s="52" t="n">
        <x:v>46191</x:v>
      </x:c>
      <x:c r="F19" s="53" t="n">
        <x:v>9</x:v>
      </x:c>
      <x:c r="G19" s="52" t="n">
        <x:f>E19+F19-1</x:f>
        <x:v>46199</x:v>
      </x:c>
      <x:c r="H19" s="14" t="str">
        <x:v>2.0</x:v>
      </x:c>
      <x:c r="I19" s="14" t="str">
        <x:v>FS</x:v>
      </x:c>
      <x:c r="J19" s="14" t="str">
        <x:v>Yes</x:v>
      </x:c>
      <x:c r="K19" s="14" t="str">
        <x:v>No</x:v>
      </x:c>
      <x:c r="L19" s="52" t="n">
        <x:v>46191</x:v>
      </x:c>
      <x:c r="M19" s="52" t="n">
        <x:f>L19+F19-1</x:f>
        <x:v>46199</x:v>
      </x:c>
      <x:c r="N19" s="52" t="str"/>
      <x:c r="O19" s="52" t="str"/>
      <x:c r="P19" s="14" t="str">
        <x:v>Not Started</x:v>
      </x:c>
      <x:c r="Q19" s="54" t="n">
        <x:v>0</x:v>
      </x:c>
      <x:c r="R19" s="14" t="str">
        <x:v>UML dossier</x:v>
      </x:c>
    </x:row>
    <x:row r="20">
      <x:c r="A20" s="14" t="str">
        <x:v>4.1</x:v>
      </x:c>
      <x:c r="B20" s="14" t="n">
        <x:v>2</x:v>
      </x:c>
      <x:c r="C20" s="14" t="str">
        <x:v>Context diagram and interface block diagram</x:v>
      </x:c>
      <x:c r="D20" s="14" t="str">
        <x:v>Member 2 - UML/Design Lead</x:v>
      </x:c>
      <x:c r="E20" s="52" t="n">
        <x:v>46191</x:v>
      </x:c>
      <x:c r="F20" s="53" t="n">
        <x:v>2</x:v>
      </x:c>
      <x:c r="G20" s="52" t="n">
        <x:f>E20+F20-1</x:f>
        <x:v>46192</x:v>
      </x:c>
      <x:c r="H20" s="14" t="str">
        <x:v>2.3</x:v>
      </x:c>
      <x:c r="I20" s="14" t="str">
        <x:v>FS</x:v>
      </x:c>
      <x:c r="J20" s="14" t="str">
        <x:v>No</x:v>
      </x:c>
      <x:c r="K20" s="14" t="str">
        <x:v>No</x:v>
      </x:c>
      <x:c r="L20" s="52" t="n">
        <x:v>46191</x:v>
      </x:c>
      <x:c r="M20" s="52" t="n">
        <x:f>L20+F20-1</x:f>
        <x:v>46192</x:v>
      </x:c>
      <x:c r="N20" s="52" t="str"/>
      <x:c r="O20" s="52" t="str"/>
      <x:c r="P20" s="14" t="str">
        <x:v>Not Started</x:v>
      </x:c>
      <x:c r="Q20" s="54" t="n">
        <x:v>0</x:v>
      </x:c>
      <x:c r="R20" s="14" t="str">
        <x:v>Fig01-Fig02</x:v>
      </x:c>
    </x:row>
    <x:row r="21">
      <x:c r="A21" s="14" t="str">
        <x:v>4.2</x:v>
      </x:c>
      <x:c r="B21" s="14" t="n">
        <x:v>2</x:v>
      </x:c>
      <x:c r="C21" s="14" t="str">
        <x:v>Use case diagram with 15+ use cases</x:v>
      </x:c>
      <x:c r="D21" s="14" t="str">
        <x:v>Member 2 - UML/Design Lead</x:v>
      </x:c>
      <x:c r="E21" s="52" t="n">
        <x:v>46192</x:v>
      </x:c>
      <x:c r="F21" s="53" t="n">
        <x:v>2</x:v>
      </x:c>
      <x:c r="G21" s="52" t="n">
        <x:f>E21+F21-1</x:f>
        <x:v>46193</x:v>
      </x:c>
      <x:c r="H21" s="14" t="str">
        <x:v>2.1</x:v>
      </x:c>
      <x:c r="I21" s="14" t="str">
        <x:v>FS</x:v>
      </x:c>
      <x:c r="J21" s="14" t="str">
        <x:v>No</x:v>
      </x:c>
      <x:c r="K21" s="14" t="str">
        <x:v>Yes</x:v>
      </x:c>
      <x:c r="L21" s="52" t="n">
        <x:v>46192</x:v>
      </x:c>
      <x:c r="M21" s="52" t="n">
        <x:f>L21+F21-1</x:f>
        <x:v>46193</x:v>
      </x:c>
      <x:c r="N21" s="52" t="str"/>
      <x:c r="O21" s="52" t="str"/>
      <x:c r="P21" s="14" t="str">
        <x:v>Not Started</x:v>
      </x:c>
      <x:c r="Q21" s="54" t="n">
        <x:v>0</x:v>
      </x:c>
      <x:c r="R21" s="14" t="str">
        <x:v>Fig03</x:v>
      </x:c>
    </x:row>
    <x:row r="22">
      <x:c r="A22" s="14" t="str">
        <x:v>4.3</x:v>
      </x:c>
      <x:c r="B22" s="14" t="n">
        <x:v>2</x:v>
      </x:c>
      <x:c r="C22" s="14" t="str">
        <x:v>Four activity diagrams with swimlanes</x:v>
      </x:c>
      <x:c r="D22" s="14" t="str">
        <x:v>Member 2 - UML/Design Lead</x:v>
      </x:c>
      <x:c r="E22" s="52" t="n">
        <x:v>46193</x:v>
      </x:c>
      <x:c r="F22" s="53" t="n">
        <x:v>3</x:v>
      </x:c>
      <x:c r="G22" s="52" t="n">
        <x:f>E22+F22-1</x:f>
        <x:v>46195</x:v>
      </x:c>
      <x:c r="H22" s="14" t="str">
        <x:v>4.2</x:v>
      </x:c>
      <x:c r="I22" s="14" t="str">
        <x:v>FS</x:v>
      </x:c>
      <x:c r="J22" s="14" t="str">
        <x:v>No</x:v>
      </x:c>
      <x:c r="K22" s="14" t="str">
        <x:v>No</x:v>
      </x:c>
      <x:c r="L22" s="52" t="n">
        <x:v>46193</x:v>
      </x:c>
      <x:c r="M22" s="52" t="n">
        <x:f>L22+F22-1</x:f>
        <x:v>46195</x:v>
      </x:c>
      <x:c r="N22" s="52" t="str"/>
      <x:c r="O22" s="52" t="str"/>
      <x:c r="P22" s="14" t="str">
        <x:v>Not Started</x:v>
      </x:c>
      <x:c r="Q22" s="54" t="n">
        <x:v>0</x:v>
      </x:c>
      <x:c r="R22" s="14" t="str">
        <x:v>Fig04-Fig07</x:v>
      </x:c>
    </x:row>
    <x:row r="23">
      <x:c r="A23" s="14" t="str">
        <x:v>4.4</x:v>
      </x:c>
      <x:c r="B23" s="14" t="n">
        <x:v>2</x:v>
      </x:c>
      <x:c r="C23" s="14" t="str">
        <x:v>Class diagram with multiplicities and typed attributes</x:v>
      </x:c>
      <x:c r="D23" s="14" t="str">
        <x:v>Member 2 - UML/Design Lead</x:v>
      </x:c>
      <x:c r="E23" s="52" t="n">
        <x:v>46195</x:v>
      </x:c>
      <x:c r="F23" s="53" t="n">
        <x:v>3</x:v>
      </x:c>
      <x:c r="G23" s="52" t="n">
        <x:f>E23+F23-1</x:f>
        <x:v>46197</x:v>
      </x:c>
      <x:c r="H23" s="14" t="str">
        <x:v>4.2</x:v>
      </x:c>
      <x:c r="I23" s="14" t="str">
        <x:v>FS</x:v>
      </x:c>
      <x:c r="J23" s="14" t="str">
        <x:v>No</x:v>
      </x:c>
      <x:c r="K23" s="14" t="str">
        <x:v>Yes</x:v>
      </x:c>
      <x:c r="L23" s="52" t="n">
        <x:v>46195</x:v>
      </x:c>
      <x:c r="M23" s="52" t="n">
        <x:f>L23+F23-1</x:f>
        <x:v>46197</x:v>
      </x:c>
      <x:c r="N23" s="52" t="str"/>
      <x:c r="O23" s="52" t="str"/>
      <x:c r="P23" s="14" t="str">
        <x:v>Not Started</x:v>
      </x:c>
      <x:c r="Q23" s="54" t="n">
        <x:v>0</x:v>
      </x:c>
      <x:c r="R23" s="14" t="str">
        <x:v>Fig08</x:v>
      </x:c>
    </x:row>
    <x:row r="24">
      <x:c r="A24" s="14" t="str">
        <x:v>4.5</x:v>
      </x:c>
      <x:c r="B24" s="14" t="n">
        <x:v>2</x:v>
      </x:c>
      <x:c r="C24" s="14" t="str">
        <x:v>Four sequence diagrams matching class diagram</x:v>
      </x:c>
      <x:c r="D24" s="14" t="str">
        <x:v>Member 2 - UML/Design Lead</x:v>
      </x:c>
      <x:c r="E24" s="52" t="n">
        <x:v>46197</x:v>
      </x:c>
      <x:c r="F24" s="53" t="n">
        <x:v>3</x:v>
      </x:c>
      <x:c r="G24" s="52" t="n">
        <x:f>E24+F24-1</x:f>
        <x:v>46199</x:v>
      </x:c>
      <x:c r="H24" s="14" t="str">
        <x:v>4.4</x:v>
      </x:c>
      <x:c r="I24" s="14" t="str">
        <x:v>FS</x:v>
      </x:c>
      <x:c r="J24" s="14" t="str">
        <x:v>No</x:v>
      </x:c>
      <x:c r="K24" s="14" t="str">
        <x:v>Yes</x:v>
      </x:c>
      <x:c r="L24" s="52" t="n">
        <x:v>46197</x:v>
      </x:c>
      <x:c r="M24" s="52" t="n">
        <x:f>L24+F24-1</x:f>
        <x:v>46199</x:v>
      </x:c>
      <x:c r="N24" s="52" t="str"/>
      <x:c r="O24" s="52" t="str"/>
      <x:c r="P24" s="14" t="str">
        <x:v>Not Started</x:v>
      </x:c>
      <x:c r="Q24" s="54" t="n">
        <x:v>0</x:v>
      </x:c>
      <x:c r="R24" s="14" t="str">
        <x:v>Fig09-Fig12</x:v>
      </x:c>
    </x:row>
    <x:row r="25">
      <x:c r="A25" s="14" t="str">
        <x:v>5.0</x:v>
      </x:c>
      <x:c r="B25" s="14" t="n">
        <x:v>1</x:v>
      </x:c>
      <x:c r="C25" s="14" t="str">
        <x:v>Prototype &amp; Testing</x:v>
      </x:c>
      <x:c r="D25" s="14" t="str">
        <x:v>Member 3 - Prototype/QA Lead</x:v>
      </x:c>
      <x:c r="E25" s="52" t="n">
        <x:v>46197</x:v>
      </x:c>
      <x:c r="F25" s="53" t="n">
        <x:v>8</x:v>
      </x:c>
      <x:c r="G25" s="52" t="n">
        <x:f>E25+F25-1</x:f>
        <x:v>46204</x:v>
      </x:c>
      <x:c r="H25" s="14" t="str">
        <x:v>4.0</x:v>
      </x:c>
      <x:c r="I25" s="14" t="str">
        <x:v>FS</x:v>
      </x:c>
      <x:c r="J25" s="14" t="str">
        <x:v>Yes</x:v>
      </x:c>
      <x:c r="K25" s="14" t="str">
        <x:v>No</x:v>
      </x:c>
      <x:c r="L25" s="52" t="n">
        <x:v>46197</x:v>
      </x:c>
      <x:c r="M25" s="52" t="n">
        <x:f>L25+F25-1</x:f>
        <x:v>46204</x:v>
      </x:c>
      <x:c r="N25" s="52" t="str"/>
      <x:c r="O25" s="52" t="str"/>
      <x:c r="P25" s="14" t="str">
        <x:v>Not Started</x:v>
      </x:c>
      <x:c r="Q25" s="54" t="n">
        <x:v>0</x:v>
      </x:c>
      <x:c r="R25" s="14" t="str">
        <x:v>HTML screens and tests</x:v>
      </x:c>
    </x:row>
    <x:row r="26">
      <x:c r="A26" s="14" t="str">
        <x:v>5.1</x:v>
      </x:c>
      <x:c r="B26" s="14" t="n">
        <x:v>2</x:v>
      </x:c>
      <x:c r="C26" s="14" t="str">
        <x:v>Build HTML/CSS/JS prototype skeleton</x:v>
      </x:c>
      <x:c r="D26" s="14" t="str">
        <x:v>Member 3 - Prototype/QA Lead</x:v>
      </x:c>
      <x:c r="E26" s="52" t="n">
        <x:v>46197</x:v>
      </x:c>
      <x:c r="F26" s="53" t="n">
        <x:v>2</x:v>
      </x:c>
      <x:c r="G26" s="52" t="n">
        <x:f>E26+F26-1</x:f>
        <x:v>46198</x:v>
      </x:c>
      <x:c r="H26" s="14" t="str">
        <x:v>2.3</x:v>
      </x:c>
      <x:c r="I26" s="14" t="str">
        <x:v>FS</x:v>
      </x:c>
      <x:c r="J26" s="14" t="str">
        <x:v>No</x:v>
      </x:c>
      <x:c r="K26" s="14" t="str">
        <x:v>Yes</x:v>
      </x:c>
      <x:c r="L26" s="52" t="n">
        <x:v>46197</x:v>
      </x:c>
      <x:c r="M26" s="52" t="n">
        <x:f>L26+F26-1</x:f>
        <x:v>46198</x:v>
      </x:c>
      <x:c r="N26" s="52" t="str"/>
      <x:c r="O26" s="52" t="str"/>
      <x:c r="P26" s="14" t="str">
        <x:v>Not Started</x:v>
      </x:c>
      <x:c r="Q26" s="54" t="n">
        <x:v>0</x:v>
      </x:c>
      <x:c r="R26" s="14" t="str">
        <x:v>Prototype index.html</x:v>
      </x:c>
    </x:row>
    <x:row r="27">
      <x:c r="A27" s="14" t="str">
        <x:v>5.2</x:v>
      </x:c>
      <x:c r="B27" s="14" t="n">
        <x:v>2</x:v>
      </x:c>
      <x:c r="C27" s="14" t="str">
        <x:v>Create dashboard, tracking, breach, quarantine, recall screens</x:v>
      </x:c>
      <x:c r="D27" s="14" t="str">
        <x:v>Member 3 - Prototype/QA Lead</x:v>
      </x:c>
      <x:c r="E27" s="52" t="n">
        <x:v>46199</x:v>
      </x:c>
      <x:c r="F27" s="53" t="n">
        <x:v>3</x:v>
      </x:c>
      <x:c r="G27" s="52" t="n">
        <x:f>E27+F27-1</x:f>
        <x:v>46201</x:v>
      </x:c>
      <x:c r="H27" s="14" t="str">
        <x:v>5.1</x:v>
      </x:c>
      <x:c r="I27" s="14" t="str">
        <x:v>FS</x:v>
      </x:c>
      <x:c r="J27" s="14" t="str">
        <x:v>No</x:v>
      </x:c>
      <x:c r="K27" s="14" t="str">
        <x:v>Yes</x:v>
      </x:c>
      <x:c r="L27" s="52" t="n">
        <x:v>46199</x:v>
      </x:c>
      <x:c r="M27" s="52" t="n">
        <x:f>L27+F27-1</x:f>
        <x:v>46201</x:v>
      </x:c>
      <x:c r="N27" s="52" t="str"/>
      <x:c r="O27" s="52" t="str"/>
      <x:c r="P27" s="14" t="str">
        <x:v>Not Started</x:v>
      </x:c>
      <x:c r="Q27" s="54" t="n">
        <x:v>0</x:v>
      </x:c>
      <x:c r="R27" s="14" t="str">
        <x:v>Prototype screenshots</x:v>
      </x:c>
    </x:row>
    <x:row r="28">
      <x:c r="A28" s="14" t="str">
        <x:v>5.3</x:v>
      </x:c>
      <x:c r="B28" s="14" t="n">
        <x:v>2</x:v>
      </x:c>
      <x:c r="C28" s="14" t="str">
        <x:v>Design 12 test cases for four use cases</x:v>
      </x:c>
      <x:c r="D28" s="14" t="str">
        <x:v>Member 3 - Prototype/QA Lead</x:v>
      </x:c>
      <x:c r="E28" s="52" t="n">
        <x:v>46200</x:v>
      </x:c>
      <x:c r="F28" s="53" t="n">
        <x:v>2</x:v>
      </x:c>
      <x:c r="G28" s="52" t="n">
        <x:f>E28+F28-1</x:f>
        <x:v>46201</x:v>
      </x:c>
      <x:c r="H28" s="14" t="str">
        <x:v>3.3</x:v>
      </x:c>
      <x:c r="I28" s="14" t="str">
        <x:v>FS</x:v>
      </x:c>
      <x:c r="J28" s="14" t="str">
        <x:v>No</x:v>
      </x:c>
      <x:c r="K28" s="14" t="str">
        <x:v>Yes</x:v>
      </x:c>
      <x:c r="L28" s="52" t="n">
        <x:v>46200</x:v>
      </x:c>
      <x:c r="M28" s="52" t="n">
        <x:f>L28+F28-1</x:f>
        <x:v>46201</x:v>
      </x:c>
      <x:c r="N28" s="52" t="str"/>
      <x:c r="O28" s="52" t="str"/>
      <x:c r="P28" s="14" t="str">
        <x:v>Not Started</x:v>
      </x:c>
      <x:c r="Q28" s="54" t="n">
        <x:v>0</x:v>
      </x:c>
      <x:c r="R28" s="14" t="str">
        <x:v>Test case register</x:v>
      </x:c>
    </x:row>
    <x:row r="29">
      <x:c r="A29" s="14" t="str">
        <x:v>5.4</x:v>
      </x:c>
      <x:c r="B29" s="14" t="n">
        <x:v>2</x:v>
      </x:c>
      <x:c r="C29" s="14" t="str">
        <x:v>Run prototype checks and capture screenshots</x:v>
      </x:c>
      <x:c r="D29" s="14" t="str">
        <x:v>Member 3 - Prototype/QA Lead</x:v>
      </x:c>
      <x:c r="E29" s="52" t="n">
        <x:v>46202</x:v>
      </x:c>
      <x:c r="F29" s="53" t="n">
        <x:v>2</x:v>
      </x:c>
      <x:c r="G29" s="52" t="n">
        <x:f>E29+F29-1</x:f>
        <x:v>46203</x:v>
      </x:c>
      <x:c r="H29" s="14" t="str">
        <x:v>5.2</x:v>
      </x:c>
      <x:c r="I29" s="14" t="str">
        <x:v>FS</x:v>
      </x:c>
      <x:c r="J29" s="14" t="str">
        <x:v>No</x:v>
      </x:c>
      <x:c r="K29" s="14" t="str">
        <x:v>No</x:v>
      </x:c>
      <x:c r="L29" s="52" t="n">
        <x:v>46202</x:v>
      </x:c>
      <x:c r="M29" s="52" t="n">
        <x:f>L29+F29-1</x:f>
        <x:v>46203</x:v>
      </x:c>
      <x:c r="N29" s="52" t="str"/>
      <x:c r="O29" s="52" t="str"/>
      <x:c r="P29" s="14" t="str">
        <x:v>Not Started</x:v>
      </x:c>
      <x:c r="Q29" s="54" t="n">
        <x:v>0</x:v>
      </x:c>
      <x:c r="R29" s="14" t="str">
        <x:v>Screenshot package</x:v>
      </x:c>
    </x:row>
    <x:row r="30">
      <x:c r="A30" s="14" t="str">
        <x:v>6.0</x:v>
      </x:c>
      <x:c r="B30" s="14" t="n">
        <x:v>1</x:v>
      </x:c>
      <x:c r="C30" s="14" t="str">
        <x:v>Report, Presentation &amp; Defense</x:v>
      </x:c>
      <x:c r="D30" s="14" t="str">
        <x:v>All Members</x:v>
      </x:c>
      <x:c r="E30" s="52" t="n">
        <x:v>46203</x:v>
      </x:c>
      <x:c r="F30" s="53" t="n">
        <x:v>11</x:v>
      </x:c>
      <x:c r="G30" s="52" t="n">
        <x:f>E30+F30-1</x:f>
        <x:v>46213</x:v>
      </x:c>
      <x:c r="H30" s="14" t="str">
        <x:v>5.0</x:v>
      </x:c>
      <x:c r="I30" s="14" t="str">
        <x:v>FS</x:v>
      </x:c>
      <x:c r="J30" s="14" t="str">
        <x:v>Yes</x:v>
      </x:c>
      <x:c r="K30" s="14" t="str">
        <x:v>No</x:v>
      </x:c>
      <x:c r="L30" s="52" t="n">
        <x:v>46203</x:v>
      </x:c>
      <x:c r="M30" s="52" t="n">
        <x:f>L30+F30-1</x:f>
        <x:v>46213</x:v>
      </x:c>
      <x:c r="N30" s="52" t="str"/>
      <x:c r="O30" s="52" t="str"/>
      <x:c r="P30" s="14" t="str">
        <x:v>Not Started</x:v>
      </x:c>
      <x:c r="Q30" s="54" t="n">
        <x:v>0</x:v>
      </x:c>
      <x:c r="R30" s="14" t="str">
        <x:v>Final Word and PPT</x:v>
      </x:c>
    </x:row>
    <x:row r="31">
      <x:c r="A31" s="14" t="str">
        <x:v>6.1</x:v>
      </x:c>
      <x:c r="B31" s="14" t="n">
        <x:v>2</x:v>
      </x:c>
      <x:c r="C31" s="14" t="str">
        <x:v>Assemble Word SRS and design dossier</x:v>
      </x:c>
      <x:c r="D31" s="14" t="str">
        <x:v>Member 1 - Requirements Lead</x:v>
      </x:c>
      <x:c r="E31" s="52" t="n">
        <x:v>46203</x:v>
      </x:c>
      <x:c r="F31" s="53" t="n">
        <x:v>4</x:v>
      </x:c>
      <x:c r="G31" s="52" t="n">
        <x:f>E31+F31-1</x:f>
        <x:v>46206</x:v>
      </x:c>
      <x:c r="H31" s="14" t="str">
        <x:v>4.5,5.3</x:v>
      </x:c>
      <x:c r="I31" s="14" t="str">
        <x:v>FS</x:v>
      </x:c>
      <x:c r="J31" s="14" t="str">
        <x:v>No</x:v>
      </x:c>
      <x:c r="K31" s="14" t="str">
        <x:v>Yes</x:v>
      </x:c>
      <x:c r="L31" s="52" t="n">
        <x:v>46203</x:v>
      </x:c>
      <x:c r="M31" s="52" t="n">
        <x:f>L31+F31-1</x:f>
        <x:v>46206</x:v>
      </x:c>
      <x:c r="N31" s="52" t="str"/>
      <x:c r="O31" s="52" t="str"/>
      <x:c r="P31" s="14" t="str">
        <x:v>Not Started</x:v>
      </x:c>
      <x:c r="Q31" s="54" t="n">
        <x:v>0</x:v>
      </x:c>
      <x:c r="R31" s="14" t="str">
        <x:v>Final report draft</x:v>
      </x:c>
    </x:row>
    <x:row r="32">
      <x:c r="A32" s="14" t="str">
        <x:v>6.2</x:v>
      </x:c>
      <x:c r="B32" s="14" t="n">
        <x:v>2</x:v>
      </x:c>
      <x:c r="C32" s="14" t="str">
        <x:v>Insert screenshots, captions, figures, and references</x:v>
      </x:c>
      <x:c r="D32" s="14" t="str">
        <x:v>Member 1 - Requirements Lead</x:v>
      </x:c>
      <x:c r="E32" s="52" t="n">
        <x:v>46206</x:v>
      </x:c>
      <x:c r="F32" s="53" t="n">
        <x:v>3</x:v>
      </x:c>
      <x:c r="G32" s="52" t="n">
        <x:f>E32+F32-1</x:f>
        <x:v>46208</x:v>
      </x:c>
      <x:c r="H32" s="14" t="str">
        <x:v>6.1</x:v>
      </x:c>
      <x:c r="I32" s="14" t="str">
        <x:v>FS</x:v>
      </x:c>
      <x:c r="J32" s="14" t="str">
        <x:v>No</x:v>
      </x:c>
      <x:c r="K32" s="14" t="str">
        <x:v>Yes</x:v>
      </x:c>
      <x:c r="L32" s="52" t="n">
        <x:v>46206</x:v>
      </x:c>
      <x:c r="M32" s="52" t="n">
        <x:f>L32+F32-1</x:f>
        <x:v>46208</x:v>
      </x:c>
      <x:c r="N32" s="52" t="str"/>
      <x:c r="O32" s="52" t="str"/>
      <x:c r="P32" s="14" t="str">
        <x:v>Not Started</x:v>
      </x:c>
      <x:c r="Q32" s="54" t="n">
        <x:v>0</x:v>
      </x:c>
      <x:c r="R32" s="14" t="str">
        <x:v>Formatted report</x:v>
      </x:c>
    </x:row>
    <x:row r="33">
      <x:c r="A33" s="14" t="str">
        <x:v>6.3</x:v>
      </x:c>
      <x:c r="B33" s="14" t="n">
        <x:v>2</x:v>
      </x:c>
      <x:c r="C33" s="14" t="str">
        <x:v>Create PowerPoint defense presentation</x:v>
      </x:c>
      <x:c r="D33" s="14" t="str">
        <x:v>Member 3 - Prototype/QA Lead</x:v>
      </x:c>
      <x:c r="E33" s="52" t="n">
        <x:v>46207</x:v>
      </x:c>
      <x:c r="F33" s="53" t="n">
        <x:v>3</x:v>
      </x:c>
      <x:c r="G33" s="52" t="n">
        <x:f>E33+F33-1</x:f>
        <x:v>46209</x:v>
      </x:c>
      <x:c r="H33" s="14" t="str">
        <x:v>6.1</x:v>
      </x:c>
      <x:c r="I33" s="14" t="str">
        <x:v>SS</x:v>
      </x:c>
      <x:c r="J33" s="14" t="str">
        <x:v>No</x:v>
      </x:c>
      <x:c r="K33" s="14" t="str">
        <x:v>No</x:v>
      </x:c>
      <x:c r="L33" s="52" t="n">
        <x:v>46207</x:v>
      </x:c>
      <x:c r="M33" s="52" t="n">
        <x:f>L33+F33-1</x:f>
        <x:v>46209</x:v>
      </x:c>
      <x:c r="N33" s="52" t="str"/>
      <x:c r="O33" s="52" t="str"/>
      <x:c r="P33" s="14" t="str">
        <x:v>Not Started</x:v>
      </x:c>
      <x:c r="Q33" s="54" t="n">
        <x:v>0</x:v>
      </x:c>
      <x:c r="R33" s="14" t="str">
        <x:v>Presentation deck</x:v>
      </x:c>
    </x:row>
    <x:row r="34">
      <x:c r="A34" s="14" t="str">
        <x:v>6.4</x:v>
      </x:c>
      <x:c r="B34" s="14" t="n">
        <x:v>2</x:v>
      </x:c>
      <x:c r="C34" s="14" t="str">
        <x:v>Run cross-artifact consistency review</x:v>
      </x:c>
      <x:c r="D34" s="14" t="str">
        <x:v>All Members</x:v>
      </x:c>
      <x:c r="E34" s="52" t="n">
        <x:v>46209</x:v>
      </x:c>
      <x:c r="F34" s="53" t="n">
        <x:v>2</x:v>
      </x:c>
      <x:c r="G34" s="52" t="n">
        <x:f>E34+F34-1</x:f>
        <x:v>46210</x:v>
      </x:c>
      <x:c r="H34" s="14" t="str">
        <x:v>6.2</x:v>
      </x:c>
      <x:c r="I34" s="14" t="str">
        <x:v>FS</x:v>
      </x:c>
      <x:c r="J34" s="14" t="str">
        <x:v>No</x:v>
      </x:c>
      <x:c r="K34" s="14" t="str">
        <x:v>Yes</x:v>
      </x:c>
      <x:c r="L34" s="52" t="n">
        <x:v>46209</x:v>
      </x:c>
      <x:c r="M34" s="52" t="n">
        <x:f>L34+F34-1</x:f>
        <x:v>46210</x:v>
      </x:c>
      <x:c r="N34" s="52" t="str"/>
      <x:c r="O34" s="52" t="str"/>
      <x:c r="P34" s="14" t="str">
        <x:v>Not Started</x:v>
      </x:c>
      <x:c r="Q34" s="54" t="n">
        <x:v>0</x:v>
      </x:c>
      <x:c r="R34" s="14" t="str">
        <x:v>Review checklist</x:v>
      </x:c>
    </x:row>
    <x:row r="35">
      <x:c r="A35" s="14" t="str">
        <x:v>6.5</x:v>
      </x:c>
      <x:c r="B35" s="14" t="n">
        <x:v>2</x:v>
      </x:c>
      <x:c r="C35" s="14" t="str">
        <x:v>Mock defense and final corrections</x:v>
      </x:c>
      <x:c r="D35" s="14" t="str">
        <x:v>All Members</x:v>
      </x:c>
      <x:c r="E35" s="52" t="n">
        <x:v>46211</x:v>
      </x:c>
      <x:c r="F35" s="53" t="n">
        <x:v>2</x:v>
      </x:c>
      <x:c r="G35" s="52" t="n">
        <x:f>E35+F35-1</x:f>
        <x:v>46212</x:v>
      </x:c>
      <x:c r="H35" s="14" t="str">
        <x:v>6.4</x:v>
      </x:c>
      <x:c r="I35" s="14" t="str">
        <x:v>FS</x:v>
      </x:c>
      <x:c r="J35" s="14" t="str">
        <x:v>No</x:v>
      </x:c>
      <x:c r="K35" s="14" t="str">
        <x:v>Yes</x:v>
      </x:c>
      <x:c r="L35" s="52" t="n">
        <x:v>46211</x:v>
      </x:c>
      <x:c r="M35" s="52" t="n">
        <x:f>L35+F35-1</x:f>
        <x:v>46212</x:v>
      </x:c>
      <x:c r="N35" s="52" t="str"/>
      <x:c r="O35" s="52" t="str"/>
      <x:c r="P35" s="14" t="str">
        <x:v>Not Started</x:v>
      </x:c>
      <x:c r="Q35" s="54" t="n">
        <x:v>0</x:v>
      </x:c>
      <x:c r="R35" s="14" t="str">
        <x:v>Defense notes</x:v>
      </x:c>
    </x:row>
    <x:row r="36">
      <x:c r="A36" s="14" t="str">
        <x:v>6.6</x:v>
      </x:c>
      <x:c r="B36" s="14" t="n">
        <x:v>2</x:v>
      </x:c>
      <x:c r="C36" s="14" t="str">
        <x:v>Final submission package</x:v>
      </x:c>
      <x:c r="D36" s="14" t="str">
        <x:v>All Members</x:v>
      </x:c>
      <x:c r="E36" s="52" t="n">
        <x:v>46213</x:v>
      </x:c>
      <x:c r="F36" s="53" t="n">
        <x:v>1</x:v>
      </x:c>
      <x:c r="G36" s="52" t="n">
        <x:f>E36+F36-1</x:f>
        <x:v>46213</x:v>
      </x:c>
      <x:c r="H36" s="14" t="str">
        <x:v>6.5</x:v>
      </x:c>
      <x:c r="I36" s="14" t="str">
        <x:v>FS</x:v>
      </x:c>
      <x:c r="J36" s="14" t="str">
        <x:v>Yes</x:v>
      </x:c>
      <x:c r="K36" s="14" t="str">
        <x:v>Yes</x:v>
      </x:c>
      <x:c r="L36" s="52" t="n">
        <x:v>46213</x:v>
      </x:c>
      <x:c r="M36" s="52" t="n">
        <x:f>L36+F36-1</x:f>
        <x:v>46213</x:v>
      </x:c>
      <x:c r="N36" s="52" t="str"/>
      <x:c r="O36" s="52" t="str"/>
      <x:c r="P36" s="14" t="str">
        <x:v>Not Started</x:v>
      </x:c>
      <x:c r="Q36" s="54" t="n">
        <x:v>0</x:v>
      </x:c>
      <x:c r="R36" s="14" t="str">
        <x:v>Submitted files</x:v>
      </x:c>
    </x:row>
  </x:sheetData>
  <x:mergeCells>
    <x:mergeCell ref="A1:R1"/>
    <x:mergeCell ref="T3:AX3"/>
  </x:mergeCells>
  <x:conditionalFormatting sqref="Q5:Q36">
    <x:cfRule type="dataBar" priority="1">
      <x:dataBar>
        <x:cfvo type="min"/>
        <x:cfvo type="max"/>
        <x:color rgb="FF22C55E"/>
      </x:dataBar>
      <x:extLst>
        <x:ext xmlns:x14="http://schemas.microsoft.com/office/spreadsheetml/2009/9/main" uri="{B025F937-C7B1-47D3-B67F-A62EFF666E3E}">
          <x14:id>{4F65BA6C-0CA2-4877-5963-9D268F0FB6FA}</x14:id>
        </x:ext>
      </x:extLst>
    </x:cfRule>
  </x:conditionalFormatting>
  <x:conditionalFormatting sqref="A5:R36">
    <x:cfRule type="expression" dxfId="3" priority="2">
      <x:formula>$K5="Yes"</x:formula>
    </x:cfRule>
    <x:cfRule type="expression" dxfId="4" priority="3">
      <x:formula>$P5="Completed"</x:formula>
    </x:cfRule>
    <x:cfRule type="expression" dxfId="5" priority="4">
      <x:formula>$P5="In Progress"</x:formula>
    </x:cfRule>
  </x:conditionalFormatting>
  <x:conditionalFormatting sqref="T5:AX36">
    <x:cfRule type="expression" dxfId="6" priority="5">
      <x:formula>AND(T$4&gt;=$E5,T$4&lt;=$G5,$K5="No")</x:formula>
    </x:cfRule>
    <x:cfRule type="expression" dxfId="7" priority="6">
      <x:formula>AND(T$4&gt;=$E5,T$4&lt;=$G5,$K5="Yes")</x:formula>
    </x:cfRule>
    <x:cfRule type="expression" dxfId="8" priority="7">
      <x:formula>AND(T$4=$G5,$J5="Yes")</x:formula>
    </x:cfRule>
  </x:conditionalFormatting>
  <x:dataValidations count="4">
    <x:dataValidation type="list" sqref="D5:D36">
      <x:formula1>"Member 1 - Requirements Lead,Member 2 - UML/Design Lead,Member 3 - Prototype/QA Lead,All Members,Instructor"</x:formula1>
    </x:dataValidation>
    <x:dataValidation type="list" sqref="I5:I36">
      <x:formula1>"FS,SS,FF,SF,N/A"</x:formula1>
    </x:dataValidation>
    <x:dataValidation type="list" sqref="J5:K36">
      <x:formula1>"Yes,No"</x:formula1>
    </x:dataValidation>
    <x:dataValidation type="list" sqref="P5:P36">
      <x:formula1>"Not Started,In Progress,Ready for Review,Completed,Deferred"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39579bf87854d1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F65BA6C-0CA2-4877-5963-9D268F0FB6FA}">
            <x14:dataBar gradient="1">
              <x14:cfvo type="min"/>
              <x14:cfvo type="max"/>
              <x14:fillColor rgb="FF22C55E"/>
            </x14:dataBar>
          </x14:cfRule>
          <xm:sqref>Q5:Q36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3" hidden="0" customWidth="1"/>
    <x:col min="3" max="3" width="40" hidden="0" customWidth="1"/>
    <x:col min="4" max="4" width="12" hidden="0" customWidth="1"/>
    <x:col min="5" max="5" width="10" hidden="0" customWidth="1"/>
    <x:col min="6" max="6" width="12" hidden="0" customWidth="1"/>
    <x:col min="7" max="7" width="12" hidden="0" customWidth="1"/>
    <x:col min="8" max="8" width="34" hidden="0" customWidth="1"/>
    <x:col min="9" max="9" width="24" hidden="0" customWidth="1"/>
    <x:col min="10" max="10" width="46" hidden="0" customWidth="1"/>
    <x:col min="11" max="11" width="46" hidden="0" customWidth="1"/>
    <x:col min="12" max="12" width="10" hidden="0" customWidth="1"/>
    <x:col min="13" max="13" width="10" hidden="0" customWidth="1"/>
    <x:col min="14" max="14" width="14" hidden="0" customWidth="1"/>
  </x:cols>
  <x:sheetData>
    <x:row r="1" ht="28" customHeight="1">
      <x:c r="A1" s="94" t="str">
        <x:v>ColdChainRx Risk Register - Product, Project, and Business Risks</x:v>
      </x:c>
      <x:c r="B1" s="94"/>
      <x:c r="C1" s="94"/>
      <x:c r="D1" s="94"/>
      <x:c r="E1" s="94"/>
      <x:c r="F1" s="94"/>
      <x:c r="G1" s="94"/>
      <x:c r="H1" s="94"/>
      <x:c r="I1" s="94"/>
      <x:c r="J1" s="94"/>
      <x:c r="K1" s="94"/>
      <x:c r="L1" s="94"/>
      <x:c r="M1" s="94"/>
      <x:c r="N1" s="94"/>
    </x:row>
    <x:row r="2" ht="20" customHeight="1">
      <x:c r="A2" s="18" t="str">
        <x:v>Risk Exposure (RE) = Probability (1-5) × Impact (1-5). Residual RE is calculated after mitigation.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</x:row>
    <x:row r="4">
      <x:c r="A4" s="23" t="str">
        <x:v>Risk ID</x:v>
      </x:c>
      <x:c r="B4" s="23" t="str">
        <x:v>Category</x:v>
      </x:c>
      <x:c r="C4" s="23" t="str">
        <x:v>Risk Event</x:v>
      </x:c>
      <x:c r="D4" s="23" t="str">
        <x:v>Probability</x:v>
      </x:c>
      <x:c r="E4" s="23" t="str">
        <x:v>Impact</x:v>
      </x:c>
      <x:c r="F4" s="23" t="str">
        <x:v>Exposure</x:v>
      </x:c>
      <x:c r="G4" s="23" t="str">
        <x:v>Rating</x:v>
      </x:c>
      <x:c r="H4" s="23" t="str">
        <x:v>Trigger / Early Indicator</x:v>
      </x:c>
      <x:c r="I4" s="23" t="str">
        <x:v>Owner</x:v>
      </x:c>
      <x:c r="J4" s="23" t="str">
        <x:v>Mitigation Plan</x:v>
      </x:c>
      <x:c r="K4" s="23" t="str">
        <x:v>Contingency Plan</x:v>
      </x:c>
      <x:c r="L4" s="23" t="str">
        <x:v>Residual P</x:v>
      </x:c>
      <x:c r="M4" s="23" t="str">
        <x:v>Residual I</x:v>
      </x:c>
      <x:c r="N4" s="23" t="str">
        <x:v>Residual Exposure</x:v>
      </x:c>
    </x:row>
    <x:row r="5">
      <x:c r="A5" s="14" t="str">
        <x:v>R-01</x:v>
      </x:c>
      <x:c r="B5" s="14" t="str">
        <x:v>Product</x:v>
      </x:c>
      <x:c r="C5" s="14" t="str">
        <x:v>IoT sensor sends inaccurate temperature readings</x:v>
      </x:c>
      <x:c r="D5" s="14" t="n">
        <x:v>3</x:v>
      </x:c>
      <x:c r="E5" s="14" t="n">
        <x:v>5</x:v>
      </x:c>
      <x:c r="F5" s="14" t="n">
        <x:f>D5*E5</x:f>
        <x:v>15</x:v>
      </x:c>
      <x:c r="G5" s="14" t="str">
        <x:f>IF(F5&gt;=16,"Critical",IF(F5&gt;=10,"High",IF(F5&gt;=5,"Medium","Low")))</x:f>
        <x:v>High</x:v>
      </x:c>
      <x:c r="H5" s="14" t="str">
        <x:v>Sudden abnormal readings or repeated calibration drift</x:v>
      </x:c>
      <x:c r="I5" s="14" t="str">
        <x:v>Member 3 - Prototype/QA Lead</x:v>
      </x:c>
      <x:c r="J5" s="14" t="str">
        <x:v>Validate readings against safe physical limits and require repeated confirmation before breach classification.</x:v>
      </x:c>
      <x:c r="K5" s="14" t="str">
        <x:v>Mark shipment as Sensor Suspected and require manual QA inspection before release.</x:v>
      </x:c>
      <x:c r="L5" s="14" t="n">
        <x:v>2</x:v>
      </x:c>
      <x:c r="M5" s="14" t="n">
        <x:v>4</x:v>
      </x:c>
      <x:c r="N5" s="14" t="n">
        <x:f>L5*M5</x:f>
        <x:v>8</x:v>
      </x:c>
    </x:row>
    <x:row r="6">
      <x:c r="A6" s="14" t="str">
        <x:v>R-02</x:v>
      </x:c>
      <x:c r="B6" s="14" t="str">
        <x:v>Product</x:v>
      </x:c>
      <x:c r="C6" s="14" t="str">
        <x:v>Temperature breach is not detected within the required time</x:v>
      </x:c>
      <x:c r="D6" s="14" t="n">
        <x:v>2</x:v>
      </x:c>
      <x:c r="E6" s="14" t="n">
        <x:v>5</x:v>
      </x:c>
      <x:c r="F6" s="14" t="n">
        <x:f>D6*E6</x:f>
        <x:v>10</x:v>
      </x:c>
      <x:c r="G6" s="14" t="str">
        <x:f>IF(F6&gt;=16,"Critical",IF(F6&gt;=10,"High",IF(F6&gt;=5,"Medium","Low")))</x:f>
        <x:v>High</x:v>
      </x:c>
      <x:c r="H6" s="14" t="str">
        <x:v>Monitoring service queue delay or missing readings</x:v>
      </x:c>
      <x:c r="I6" s="14" t="str">
        <x:v>Member 2 - UML/Design Lead</x:v>
      </x:c>
      <x:c r="J6" s="14" t="str">
        <x:v>Unit-test threshold logic and simulate continuous out-of-range readings during integration testing.</x:v>
      </x:c>
      <x:c r="K6" s="14" t="str">
        <x:v>Generate daily exception report from raw sensor history for QA review.</x:v>
      </x:c>
      <x:c r="L6" s="14" t="n">
        <x:v>1</x:v>
      </x:c>
      <x:c r="M6" s="14" t="n">
        <x:v>5</x:v>
      </x:c>
      <x:c r="N6" s="14" t="n">
        <x:f>L6*M6</x:f>
        <x:v>5</x:v>
      </x:c>
    </x:row>
    <x:row r="7">
      <x:c r="A7" s="14" t="str">
        <x:v>R-03</x:v>
      </x:c>
      <x:c r="B7" s="14" t="str">
        <x:v>Product</x:v>
      </x:c>
      <x:c r="C7" s="14" t="str">
        <x:v>Recall traceability misses an affected hospital or pharmacy</x:v>
      </x:c>
      <x:c r="D7" s="14" t="n">
        <x:v>3</x:v>
      </x:c>
      <x:c r="E7" s="14" t="n">
        <x:v>5</x:v>
      </x:c>
      <x:c r="F7" s="14" t="n">
        <x:f>D7*E7</x:f>
        <x:v>15</x:v>
      </x:c>
      <x:c r="G7" s="14" t="str">
        <x:f>IF(F7&gt;=16,"Critical",IF(F7&gt;=10,"High",IF(F7&gt;=5,"Medium","Low")))</x:f>
        <x:v>High</x:v>
      </x:c>
      <x:c r="H7" s="14" t="str">
        <x:v>Incomplete batch movement record or missing receive confirmation</x:v>
      </x:c>
      <x:c r="I7" s="14" t="str">
        <x:v>Member 1 - Requirements Lead</x:v>
      </x:c>
      <x:c r="J7" s="14" t="str">
        <x:v>Make batch movement audit logs mandatory before shipment status can close.</x:v>
      </x:c>
      <x:c r="K7" s="14" t="str">
        <x:v>Notify all locations that received shipments from the same supplier during the risk period.</x:v>
      </x:c>
      <x:c r="L7" s="14" t="n">
        <x:v>2</x:v>
      </x:c>
      <x:c r="M7" s="14" t="n">
        <x:v>5</x:v>
      </x:c>
      <x:c r="N7" s="14" t="n">
        <x:f>L7*M7</x:f>
        <x:v>10</x:v>
      </x:c>
    </x:row>
    <x:row r="8">
      <x:c r="A8" s="14" t="str">
        <x:v>R-04</x:v>
      </x:c>
      <x:c r="B8" s="14" t="str">
        <x:v>Product</x:v>
      </x:c>
      <x:c r="C8" s="14" t="str">
        <x:v>Quarantined shipment is accidentally accepted into usable stock</x:v>
      </x:c>
      <x:c r="D8" s="14" t="n">
        <x:v>2</x:v>
      </x:c>
      <x:c r="E8" s="14" t="n">
        <x:v>5</x:v>
      </x:c>
      <x:c r="F8" s="14" t="n">
        <x:f>D8*E8</x:f>
        <x:v>10</x:v>
      </x:c>
      <x:c r="G8" s="14" t="str">
        <x:f>IF(F8&gt;=16,"Critical",IF(F8&gt;=10,"High",IF(F8&gt;=5,"Medium","Low")))</x:f>
        <x:v>High</x:v>
      </x:c>
      <x:c r="H8" s="14" t="str">
        <x:v>Receiving attempt on quarantined shipment</x:v>
      </x:c>
      <x:c r="I8" s="14" t="str">
        <x:v>Member 3 - Prototype/QA Lead</x:v>
      </x:c>
      <x:c r="J8" s="14" t="str">
        <x:v>Enforce database state rule: Quarantined/Rejected cannot transition directly to Usable Stock.</x:v>
      </x:c>
      <x:c r="K8" s="14" t="str">
        <x:v>Lock receiving workflow and require administrator/QA investigation.</x:v>
      </x:c>
      <x:c r="L8" s="14" t="n">
        <x:v>1</x:v>
      </x:c>
      <x:c r="M8" s="14" t="n">
        <x:v>5</x:v>
      </x:c>
      <x:c r="N8" s="14" t="n">
        <x:f>L8*M8</x:f>
        <x:v>5</x:v>
      </x:c>
    </x:row>
    <x:row r="9">
      <x:c r="A9" s="14" t="str">
        <x:v>R-05</x:v>
      </x:c>
      <x:c r="B9" s="14" t="str">
        <x:v>Project</x:v>
      </x:c>
      <x:c r="C9" s="14" t="str">
        <x:v>UML diagrams become inconsistent with requirements</x:v>
      </x:c>
      <x:c r="D9" s="14" t="n">
        <x:v>3</x:v>
      </x:c>
      <x:c r="E9" s="14" t="n">
        <x:v>4</x:v>
      </x:c>
      <x:c r="F9" s="14" t="n">
        <x:f>D9*E9</x:f>
        <x:v>12</x:v>
      </x:c>
      <x:c r="G9" s="14" t="str">
        <x:f>IF(F9&gt;=16,"Critical",IF(F9&gt;=10,"High",IF(F9&gt;=5,"Medium","Low")))</x:f>
        <x:v>High</x:v>
      </x:c>
      <x:c r="H9" s="14" t="str">
        <x:v>Unmapped FR or lifeline not present in class diagram</x:v>
      </x:c>
      <x:c r="I9" s="14" t="str">
        <x:v>Member 2 - UML/Design Lead</x:v>
      </x:c>
      <x:c r="J9" s="14" t="str">
        <x:v>Maintain traceability matrix from the beginning and review it after every diagram update.</x:v>
      </x:c>
      <x:c r="K9" s="14" t="str">
        <x:v>Schedule a final cross-artifact correction sprint before submission.</x:v>
      </x:c>
      <x:c r="L9" s="14" t="n">
        <x:v>2</x:v>
      </x:c>
      <x:c r="M9" s="14" t="n">
        <x:v>3</x:v>
      </x:c>
      <x:c r="N9" s="14" t="n">
        <x:f>L9*M9</x:f>
        <x:v>6</x:v>
      </x:c>
    </x:row>
    <x:row r="10">
      <x:c r="A10" s="14" t="str">
        <x:v>R-06</x:v>
      </x:c>
      <x:c r="B10" s="14" t="str">
        <x:v>Project</x:v>
      </x:c>
      <x:c r="C10" s="14" t="str">
        <x:v>HTML prototype takes longer than planned</x:v>
      </x:c>
      <x:c r="D10" s="14" t="n">
        <x:v>3</x:v>
      </x:c>
      <x:c r="E10" s="14" t="n">
        <x:v>3</x:v>
      </x:c>
      <x:c r="F10" s="14" t="n">
        <x:f>D10*E10</x:f>
        <x:v>9</x:v>
      </x:c>
      <x:c r="G10" s="14" t="str">
        <x:f>IF(F10&gt;=16,"Critical",IF(F10&gt;=10,"High",IF(F10&gt;=5,"Medium","Low")))</x:f>
        <x:v>Medium</x:v>
      </x:c>
      <x:c r="H10" s="14" t="str">
        <x:v>Incomplete prototype pages by Week 4</x:v>
      </x:c>
      <x:c r="I10" s="14" t="str">
        <x:v>Member 3 - Prototype/QA Lead</x:v>
      </x:c>
      <x:c r="J10" s="14" t="str">
        <x:v>Limit prototype to the core pages needed for evidence and screenshots.</x:v>
      </x:c>
      <x:c r="K10" s="14" t="str">
        <x:v>Use static mock data and reduce animation/interactive extras.</x:v>
      </x:c>
      <x:c r="L10" s="14" t="n">
        <x:v>2</x:v>
      </x:c>
      <x:c r="M10" s="14" t="n">
        <x:v>2</x:v>
      </x:c>
      <x:c r="N10" s="14" t="n">
        <x:f>L10*M10</x:f>
        <x:v>4</x:v>
      </x:c>
    </x:row>
    <x:row r="11">
      <x:c r="A11" s="14" t="str">
        <x:v>R-07</x:v>
      </x:c>
      <x:c r="B11" s="14" t="str">
        <x:v>Project</x:v>
      </x:c>
      <x:c r="C11" s="14" t="str">
        <x:v>Team contribution evidence is insufficient</x:v>
      </x:c>
      <x:c r="D11" s="14" t="n">
        <x:v>2</x:v>
      </x:c>
      <x:c r="E11" s="14" t="n">
        <x:v>4</x:v>
      </x:c>
      <x:c r="F11" s="14" t="n">
        <x:f>D11*E11</x:f>
        <x:v>8</x:v>
      </x:c>
      <x:c r="G11" s="14" t="str">
        <x:f>IF(F11&gt;=16,"Critical",IF(F11&gt;=10,"High",IF(F11&gt;=5,"Medium","Low")))</x:f>
        <x:v>Medium</x:v>
      </x:c>
      <x:c r="H11" s="14" t="str">
        <x:v>No GitHub commits or unclear contribution log</x:v>
      </x:c>
      <x:c r="I11" s="14" t="str">
        <x:v>All Members</x:v>
      </x:c>
      <x:c r="J11" s="14" t="str">
        <x:v>Assign deliverables per member and commit source files regularly.</x:v>
      </x:c>
      <x:c r="K11" s="14" t="str">
        <x:v>Add signed contribution table and defense notes for each member.</x:v>
      </x:c>
      <x:c r="L11" s="14" t="n">
        <x:v>1</x:v>
      </x:c>
      <x:c r="M11" s="14" t="n">
        <x:v>3</x:v>
      </x:c>
      <x:c r="N11" s="14" t="n">
        <x:f>L11*M11</x:f>
        <x:v>3</x:v>
      </x:c>
    </x:row>
    <x:row r="12">
      <x:c r="A12" s="14" t="str">
        <x:v>R-08</x:v>
      </x:c>
      <x:c r="B12" s="14" t="str">
        <x:v>Project</x:v>
      </x:c>
      <x:c r="C12" s="14" t="str">
        <x:v>Gantt schedule slips because diagram work is underestimated</x:v>
      </x:c>
      <x:c r="D12" s="14" t="n">
        <x:v>3</x:v>
      </x:c>
      <x:c r="E12" s="14" t="n">
        <x:v>4</x:v>
      </x:c>
      <x:c r="F12" s="14" t="n">
        <x:f>D12*E12</x:f>
        <x:v>12</x:v>
      </x:c>
      <x:c r="G12" s="14" t="str">
        <x:f>IF(F12&gt;=16,"Critical",IF(F12&gt;=10,"High",IF(F12&gt;=5,"Medium","Low")))</x:f>
        <x:v>High</x:v>
      </x:c>
      <x:c r="H12" s="14" t="str">
        <x:v>Activity/sequence diagrams not ready by planned date</x:v>
      </x:c>
      <x:c r="I12" s="14" t="str">
        <x:v>Member 2 - UML/Design Lead</x:v>
      </x:c>
      <x:c r="J12" s="14" t="str">
        <x:v>Start diagrams after FR baseline and reuse shared class names consistently.</x:v>
      </x:c>
      <x:c r="K12" s="14" t="str">
        <x:v>Reduce non-critical diagram complexity while keeping UML notation correct.</x:v>
      </x:c>
      <x:c r="L12" s="14" t="n">
        <x:v>2</x:v>
      </x:c>
      <x:c r="M12" s="14" t="n">
        <x:v>3</x:v>
      </x:c>
      <x:c r="N12" s="14" t="n">
        <x:f>L12*M12</x:f>
        <x:v>6</x:v>
      </x:c>
    </x:row>
    <x:row r="13">
      <x:c r="A13" s="14" t="str">
        <x:v>R-09</x:v>
      </x:c>
      <x:c r="B13" s="14" t="str">
        <x:v>Business</x:v>
      </x:c>
      <x:c r="C13" s="14" t="str">
        <x:v>Hospitals reject the workflow because receiving adds extra steps</x:v>
      </x:c>
      <x:c r="D13" s="14" t="n">
        <x:v>3</x:v>
      </x:c>
      <x:c r="E13" s="14" t="n">
        <x:v>4</x:v>
      </x:c>
      <x:c r="F13" s="14" t="n">
        <x:f>D13*E13</x:f>
        <x:v>12</x:v>
      </x:c>
      <x:c r="G13" s="14" t="str">
        <x:f>IF(F13&gt;=16,"Critical",IF(F13&gt;=10,"High",IF(F13&gt;=5,"Medium","Low")))</x:f>
        <x:v>High</x:v>
      </x:c>
      <x:c r="H13" s="14" t="str">
        <x:v>User feedback says receiving workflow is too slow</x:v>
      </x:c>
      <x:c r="I13" s="14" t="str">
        <x:v>Member 1 - Requirements Lead</x:v>
      </x:c>
      <x:c r="J13" s="14" t="str">
        <x:v>Use QR-based receiving and keep the normal safe-shipment flow under 3 minutes.</x:v>
      </x:c>
      <x:c r="K13" s="14" t="str">
        <x:v>Add quick-receive path for safe shipments with full audit logging.</x:v>
      </x:c>
      <x:c r="L13" s="14" t="n">
        <x:v>2</x:v>
      </x:c>
      <x:c r="M13" s="14" t="n">
        <x:v>3</x:v>
      </x:c>
      <x:c r="N13" s="14" t="n">
        <x:f>L13*M13</x:f>
        <x:v>6</x:v>
      </x:c>
    </x:row>
    <x:row r="14">
      <x:c r="A14" s="14" t="str">
        <x:v>R-10</x:v>
      </x:c>
      <x:c r="B14" s="14" t="str">
        <x:v>Business</x:v>
      </x:c>
      <x:c r="C14" s="14" t="str">
        <x:v>Supplier batch data format is incompatible</x:v>
      </x:c>
      <x:c r="D14" s="14" t="n">
        <x:v>3</x:v>
      </x:c>
      <x:c r="E14" s="14" t="n">
        <x:v>3</x:v>
      </x:c>
      <x:c r="F14" s="14" t="n">
        <x:f>D14*E14</x:f>
        <x:v>9</x:v>
      </x:c>
      <x:c r="G14" s="14" t="str">
        <x:f>IF(F14&gt;=16,"Critical",IF(F14&gt;=10,"High",IF(F14&gt;=5,"Medium","Low")))</x:f>
        <x:v>Medium</x:v>
      </x:c>
      <x:c r="H14" s="14" t="str">
        <x:v>Supplier files lack required fields or use different formats</x:v>
      </x:c>
      <x:c r="I14" s="14" t="str">
        <x:v>Member 2 - UML/Design Lead</x:v>
      </x:c>
      <x:c r="J14" s="14" t="str">
        <x:v>Design supplier adapter and validate required fields before import.</x:v>
      </x:c>
      <x:c r="K14" s="14" t="str">
        <x:v>Allow manual/CSV recall entry for urgent cases.</x:v>
      </x:c>
      <x:c r="L14" s="14" t="n">
        <x:v>2</x:v>
      </x:c>
      <x:c r="M14" s="14" t="n">
        <x:v>2</x:v>
      </x:c>
      <x:c r="N14" s="14" t="n">
        <x:f>L14*M14</x:f>
        <x:v>4</x:v>
      </x:c>
    </x:row>
    <x:row r="15">
      <x:c r="A15" s="14" t="str">
        <x:v>R-11</x:v>
      </x:c>
      <x:c r="B15" s="14" t="str">
        <x:v>Business</x:v>
      </x:c>
      <x:c r="C15" s="14" t="str">
        <x:v>Regulatory data retention period changes</x:v>
      </x:c>
      <x:c r="D15" s="14" t="n">
        <x:v>2</x:v>
      </x:c>
      <x:c r="E15" s="14" t="n">
        <x:v>4</x:v>
      </x:c>
      <x:c r="F15" s="14" t="n">
        <x:f>D15*E15</x:f>
        <x:v>8</x:v>
      </x:c>
      <x:c r="G15" s="14" t="str">
        <x:f>IF(F15&gt;=16,"Critical",IF(F15&gt;=10,"High",IF(F15&gt;=5,"Medium","Low")))</x:f>
        <x:v>Medium</x:v>
      </x:c>
      <x:c r="H15" s="14" t="str">
        <x:v>New GDP or health data retention guidance</x:v>
      </x:c>
      <x:c r="I15" s="14" t="str">
        <x:v>Member 1 - Requirements Lead</x:v>
      </x:c>
      <x:c r="J15" s="14" t="str">
        <x:v>Make retention period configurable and document data retention NFR.</x:v>
      </x:c>
      <x:c r="K15" s="14" t="str">
        <x:v>Update retention setting and regenerate compliance policy.</x:v>
      </x:c>
      <x:c r="L15" s="14" t="n">
        <x:v>1</x:v>
      </x:c>
      <x:c r="M15" s="14" t="n">
        <x:v>3</x:v>
      </x:c>
      <x:c r="N15" s="14" t="n">
        <x:f>L15*M15</x:f>
        <x:v>3</x:v>
      </x:c>
    </x:row>
    <x:row r="16">
      <x:c r="A16" s="14" t="str">
        <x:v>R-12</x:v>
      </x:c>
      <x:c r="B16" s="14" t="str">
        <x:v>Business</x:v>
      </x:c>
      <x:c r="C16" s="14" t="str">
        <x:v>Notification provider outage delays breach or recall alerts</x:v>
      </x:c>
      <x:c r="D16" s="14" t="n">
        <x:v>3</x:v>
      </x:c>
      <x:c r="E16" s="14" t="n">
        <x:v>4</x:v>
      </x:c>
      <x:c r="F16" s="14" t="n">
        <x:f>D16*E16</x:f>
        <x:v>12</x:v>
      </x:c>
      <x:c r="G16" s="14" t="str">
        <x:f>IF(F16&gt;=16,"Critical",IF(F16&gt;=10,"High",IF(F16&gt;=5,"Medium","Low")))</x:f>
        <x:v>High</x:v>
      </x:c>
      <x:c r="H16" s="14" t="str">
        <x:v>SMS/email API timeout or error code</x:v>
      </x:c>
      <x:c r="I16" s="14" t="str">
        <x:v>Member 3 - Prototype/QA Lead</x:v>
      </x:c>
      <x:c r="J16" s="14" t="str">
        <x:v>Use retry queue and support both email and SMS channels.</x:v>
      </x:c>
      <x:c r="K16" s="14" t="str">
        <x:v>Display alert banner inside dashboard and export call list for manual contact.</x:v>
      </x:c>
      <x:c r="L16" s="14" t="n">
        <x:v>2</x:v>
      </x:c>
      <x:c r="M16" s="14" t="n">
        <x:v>3</x:v>
      </x:c>
      <x:c r="N16" s="14" t="n">
        <x:f>L16*M16</x:f>
        <x:v>6</x:v>
      </x:c>
    </x:row>
  </x:sheetData>
  <x:mergeCells>
    <x:mergeCell ref="A1:N1"/>
    <x:mergeCell ref="A2:N2"/>
  </x:mergeCells>
  <x:conditionalFormatting sqref="G5:G16">
    <x:cfRule type="expression" dxfId="9" priority="1">
      <x:formula>G5="Critical"</x:formula>
    </x:cfRule>
    <x:cfRule type="expression" dxfId="10" priority="2">
      <x:formula>G5="High"</x:formula>
    </x:cfRule>
    <x:cfRule type="expression" dxfId="11" priority="3">
      <x:formula>G5="Medium"</x:formula>
    </x:cfRule>
    <x:cfRule type="expression" dxfId="12" priority="4">
      <x:formula>G5="Low"</x:formula>
    </x:cfRule>
  </x:conditionalFormatting>
  <x:conditionalFormatting sqref="F5:F16">
    <x:cfRule type="dataBar" priority="5">
      <x:dataBar>
        <x:cfvo type="min"/>
        <x:cfvo type="max"/>
        <x:color rgb="FFDC2626"/>
      </x:dataBar>
      <x:extLst>
        <x:ext xmlns:x14="http://schemas.microsoft.com/office/spreadsheetml/2009/9/main" uri="{B025F937-C7B1-47D3-B67F-A62EFF666E3E}">
          <x14:id>{8F3819F3-3AC2-E4FD-536A-F13550810883}</x14:id>
        </x:ext>
      </x:extLst>
    </x:cfRule>
  </x:conditionalFormatting>
  <x:conditionalFormatting sqref="N5:N16">
    <x:cfRule type="dataBar" priority="6">
      <x:dataBar>
        <x:cfvo type="min"/>
        <x:cfvo type="max"/>
        <x:color rgb="FF059669"/>
      </x:dataBar>
      <x:extLst>
        <x:ext xmlns:x14="http://schemas.microsoft.com/office/spreadsheetml/2009/9/main" uri="{B025F937-C7B1-47D3-B67F-A62EFF666E3E}">
          <x14:id>{4F0998F2-EB41-6BF0-31F0-DA71063F581D}</x14:id>
        </x:ext>
      </x:extLst>
    </x:cfRule>
  </x:conditionalFormatting>
  <x:dataValidations count="3">
    <x:dataValidation type="list" sqref="D5:E16">
      <x:formula1>"1,2,3,4,5"</x:formula1>
    </x:dataValidation>
    <x:dataValidation type="list" sqref="L5:M16">
      <x:formula1>"1,2,3,4,5"</x:formula1>
    </x:dataValidation>
    <x:dataValidation type="list" sqref="B5:B16">
      <x:formula1>"Product,Project,Business"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0b4ee57ccc435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8F3819F3-3AC2-E4FD-536A-F13550810883}">
            <x14:dataBar gradient="1">
              <x14:cfvo type="min"/>
              <x14:cfvo type="max"/>
              <x14:fillColor rgb="FFDC2626"/>
            </x14:dataBar>
          </x14:cfRule>
          <xm:sqref>F5:F16</xm:sqref>
        </x14:conditionalFormatting>
        <x14:conditionalFormatting>
          <x14:cfRule type="dataBar" priority="6" id="{4F0998F2-EB41-6BF0-31F0-DA71063F581D}">
            <x14:dataBar gradient="1">
              <x14:cfvo type="min"/>
              <x14:cfvo type="max"/>
              <x14:fillColor rgb="FF059669"/>
            </x14:dataBar>
          </x14:cfRule>
          <xm:sqref>N5:N16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9" max="9" width="26" hidden="0" customWidth="1"/>
    <x:col min="10" max="10" width="18" hidden="0" customWidth="1"/>
  </x:cols>
  <x:sheetData>
    <x:row r="1" ht="28" customHeight="1">
      <x:c r="A1" s="94" t="str">
        <x:v>ColdChainRx Risk Matrix - Probability × Impact</x:v>
      </x:c>
      <x:c r="B1" s="94"/>
      <x:c r="C1" s="94"/>
      <x:c r="D1" s="94"/>
      <x:c r="E1" s="94"/>
      <x:c r="F1" s="94"/>
      <x:c r="G1" s="94"/>
      <x:c r="H1" s="94"/>
    </x:row>
    <x:row r="2" ht="20" customHeight="1"/>
    <x:row r="3">
      <x:c r="A3" s="40" t="str">
        <x:v>Cells count risks by Probability and Impact using formulas from the Risk_Register sheet.</x:v>
      </x:c>
      <x:c r="B3" s="40"/>
      <x:c r="C3" s="40"/>
      <x:c r="D3" s="40"/>
      <x:c r="E3" s="40"/>
      <x:c r="F3" s="40"/>
      <x:c r="G3" s="40"/>
      <x:c r="H3" s="40"/>
    </x:row>
    <x:row r="5">
      <x:c r="B5" s="10" t="str">
        <x:v>Probability \ Impact</x:v>
      </x:c>
      <x:c r="C5" s="10" t="n">
        <x:v>1</x:v>
      </x:c>
      <x:c r="D5" s="10" t="n">
        <x:v>2</x:v>
      </x:c>
      <x:c r="E5" s="10" t="n">
        <x:v>3</x:v>
      </x:c>
      <x:c r="F5" s="10" t="n">
        <x:v>4</x:v>
      </x:c>
      <x:c r="G5" s="10" t="n">
        <x:v>5</x:v>
      </x:c>
      <x:c r="I5" s="34" t="str">
        <x:v>Risk Summary</x:v>
      </x:c>
      <x:c r="J5" s="34" t="str">
        <x:v>Formula</x:v>
      </x:c>
    </x:row>
    <x:row r="6" ht="28" customHeight="1">
      <x:c r="B6" s="10" t="n">
        <x:v>5</x:v>
      </x:c>
      <x:c r="C6" s="68" t="n">
        <x:f>COUNTIFS(Risk_Register!$D$5:$D$16,$B6,Risk_Register!$E$5:$E$16,C$5)</x:f>
        <x:v>0</x:v>
      </x:c>
      <x:c r="D6" s="68" t="n">
        <x:f>COUNTIFS(Risk_Register!$D$5:$D$16,$B6,Risk_Register!$E$5:$E$16,D$5)</x:f>
        <x:v>0</x:v>
      </x:c>
      <x:c r="E6" s="68" t="n">
        <x:f>COUNTIFS(Risk_Register!$D$5:$D$16,$B6,Risk_Register!$E$5:$E$16,E$5)</x:f>
        <x:v>0</x:v>
      </x:c>
      <x:c r="F6" s="68" t="n">
        <x:f>COUNTIFS(Risk_Register!$D$5:$D$16,$B6,Risk_Register!$E$5:$E$16,F$5)</x:f>
        <x:v>0</x:v>
      </x:c>
      <x:c r="G6" s="68" t="n">
        <x:f>COUNTIFS(Risk_Register!$D$5:$D$16,$B6,Risk_Register!$E$5:$E$16,G$5)</x:f>
        <x:v>0</x:v>
      </x:c>
      <x:c r="I6" s="73" t="str">
        <x:v>Total risks</x:v>
      </x:c>
      <x:c r="J6" s="77" t="n">
        <x:f>COUNTA(Risk_Register!A5:A16)</x:f>
        <x:v>12</x:v>
      </x:c>
    </x:row>
    <x:row r="7" ht="28" customHeight="1">
      <x:c r="B7" s="10" t="n">
        <x:v>4</x:v>
      </x:c>
      <x:c r="C7" s="68" t="n">
        <x:f>COUNTIFS(Risk_Register!$D$5:$D$16,$B7,Risk_Register!$E$5:$E$16,C$5)</x:f>
        <x:v>0</x:v>
      </x:c>
      <x:c r="D7" s="68" t="n">
        <x:f>COUNTIFS(Risk_Register!$D$5:$D$16,$B7,Risk_Register!$E$5:$E$16,D$5)</x:f>
        <x:v>0</x:v>
      </x:c>
      <x:c r="E7" s="68" t="n">
        <x:f>COUNTIFS(Risk_Register!$D$5:$D$16,$B7,Risk_Register!$E$5:$E$16,E$5)</x:f>
        <x:v>0</x:v>
      </x:c>
      <x:c r="F7" s="68" t="n">
        <x:f>COUNTIFS(Risk_Register!$D$5:$D$16,$B7,Risk_Register!$E$5:$E$16,F$5)</x:f>
        <x:v>0</x:v>
      </x:c>
      <x:c r="G7" s="68" t="n">
        <x:f>COUNTIFS(Risk_Register!$D$5:$D$16,$B7,Risk_Register!$E$5:$E$16,G$5)</x:f>
        <x:v>0</x:v>
      </x:c>
      <x:c r="I7" s="73" t="str">
        <x:v>Product risks</x:v>
      </x:c>
      <x:c r="J7" s="77" t="n">
        <x:f>COUNTIF(Risk_Register!B5:B16,"Product")</x:f>
        <x:v>4</x:v>
      </x:c>
    </x:row>
    <x:row r="8" ht="28" customHeight="1">
      <x:c r="B8" s="10" t="n">
        <x:v>3</x:v>
      </x:c>
      <x:c r="C8" s="68" t="n">
        <x:f>COUNTIFS(Risk_Register!$D$5:$D$16,$B8,Risk_Register!$E$5:$E$16,C$5)</x:f>
        <x:v>0</x:v>
      </x:c>
      <x:c r="D8" s="68" t="n">
        <x:f>COUNTIFS(Risk_Register!$D$5:$D$16,$B8,Risk_Register!$E$5:$E$16,D$5)</x:f>
        <x:v>0</x:v>
      </x:c>
      <x:c r="E8" s="68" t="n">
        <x:f>COUNTIFS(Risk_Register!$D$5:$D$16,$B8,Risk_Register!$E$5:$E$16,E$5)</x:f>
        <x:v>2</x:v>
      </x:c>
      <x:c r="F8" s="68" t="n">
        <x:f>COUNTIFS(Risk_Register!$D$5:$D$16,$B8,Risk_Register!$E$5:$E$16,F$5)</x:f>
        <x:v>4</x:v>
      </x:c>
      <x:c r="G8" s="68" t="n">
        <x:f>COUNTIFS(Risk_Register!$D$5:$D$16,$B8,Risk_Register!$E$5:$E$16,G$5)</x:f>
        <x:v>2</x:v>
      </x:c>
      <x:c r="I8" s="73" t="str">
        <x:v>Project risks</x:v>
      </x:c>
      <x:c r="J8" s="77" t="n">
        <x:f>COUNTIF(Risk_Register!B5:B16,"Project")</x:f>
        <x:v>4</x:v>
      </x:c>
    </x:row>
    <x:row r="9" ht="28" customHeight="1">
      <x:c r="B9" s="10" t="n">
        <x:v>2</x:v>
      </x:c>
      <x:c r="C9" s="68" t="n">
        <x:f>COUNTIFS(Risk_Register!$D$5:$D$16,$B9,Risk_Register!$E$5:$E$16,C$5)</x:f>
        <x:v>0</x:v>
      </x:c>
      <x:c r="D9" s="68" t="n">
        <x:f>COUNTIFS(Risk_Register!$D$5:$D$16,$B9,Risk_Register!$E$5:$E$16,D$5)</x:f>
        <x:v>0</x:v>
      </x:c>
      <x:c r="E9" s="68" t="n">
        <x:f>COUNTIFS(Risk_Register!$D$5:$D$16,$B9,Risk_Register!$E$5:$E$16,E$5)</x:f>
        <x:v>0</x:v>
      </x:c>
      <x:c r="F9" s="68" t="n">
        <x:f>COUNTIFS(Risk_Register!$D$5:$D$16,$B9,Risk_Register!$E$5:$E$16,F$5)</x:f>
        <x:v>2</x:v>
      </x:c>
      <x:c r="G9" s="68" t="n">
        <x:f>COUNTIFS(Risk_Register!$D$5:$D$16,$B9,Risk_Register!$E$5:$E$16,G$5)</x:f>
        <x:v>2</x:v>
      </x:c>
      <x:c r="I9" s="73" t="str">
        <x:v>Business risks</x:v>
      </x:c>
      <x:c r="J9" s="77" t="n">
        <x:f>COUNTIF(Risk_Register!B5:B16,"Business")</x:f>
        <x:v>4</x:v>
      </x:c>
    </x:row>
    <x:row r="10" ht="28" customHeight="1">
      <x:c r="B10" s="10" t="n">
        <x:v>1</x:v>
      </x:c>
      <x:c r="C10" s="68" t="n">
        <x:f>COUNTIFS(Risk_Register!$D$5:$D$16,$B10,Risk_Register!$E$5:$E$16,C$5)</x:f>
        <x:v>0</x:v>
      </x:c>
      <x:c r="D10" s="68" t="n">
        <x:f>COUNTIFS(Risk_Register!$D$5:$D$16,$B10,Risk_Register!$E$5:$E$16,D$5)</x:f>
        <x:v>0</x:v>
      </x:c>
      <x:c r="E10" s="68" t="n">
        <x:f>COUNTIFS(Risk_Register!$D$5:$D$16,$B10,Risk_Register!$E$5:$E$16,E$5)</x:f>
        <x:v>0</x:v>
      </x:c>
      <x:c r="F10" s="68" t="n">
        <x:f>COUNTIFS(Risk_Register!$D$5:$D$16,$B10,Risk_Register!$E$5:$E$16,F$5)</x:f>
        <x:v>0</x:v>
      </x:c>
      <x:c r="G10" s="68" t="n">
        <x:f>COUNTIFS(Risk_Register!$D$5:$D$16,$B10,Risk_Register!$E$5:$E$16,G$5)</x:f>
        <x:v>0</x:v>
      </x:c>
      <x:c r="I10" s="73" t="str">
        <x:v>High or Critical risks</x:v>
      </x:c>
      <x:c r="J10" s="77" t="n">
        <x:f>COUNTIF(Risk_Register!G5:G16,"High")+COUNTIF(Risk_Register!G5:G16,"Critical")</x:f>
        <x:v>8</x:v>
      </x:c>
    </x:row>
    <x:row r="11">
      <x:c r="I11" s="73" t="str">
        <x:v>Average exposure</x:v>
      </x:c>
      <x:c r="J11" s="77" t="n">
        <x:f>ROUND(AVERAGE(Risk_Register!F5:F16),1)</x:f>
        <x:v>11</x:v>
      </x:c>
    </x:row>
  </x:sheetData>
  <x:mergeCells>
    <x:mergeCell ref="A1:H1"/>
    <x:mergeCell ref="A3:H3"/>
  </x:mergeCells>
  <x:conditionalFormatting sqref="C6:G10">
    <x:cfRule type="expression" dxfId="13" priority="1">
      <x:formula>($B6*C$5)&gt;=16</x:formula>
    </x:cfRule>
    <x:cfRule type="expression" dxfId="14" priority="2">
      <x:formula>AND(($B6*C$5)&gt;=10,($B6*C$5)&lt;16)</x:formula>
    </x:cfRule>
    <x:cfRule type="expression" dxfId="15" priority="3">
      <x:formula>AND(($B6*C$5)&gt;=5,($B6*C$5)&lt;10)</x:formula>
    </x:cfRule>
    <x:cfRule type="expression" dxfId="16" priority="4">
      <x:formula>($B6*C$5)&lt;5</x:formula>
    </x:cfRule>
  </x:conditionalFormatting>
  <x:pageMargins left="0.7" right="0.7" top="0.75" bottom="0.75" header="0.3" footer="0.3"/>
  <x:drawing xmlns:r="http://schemas.openxmlformats.org/officeDocument/2006/relationships" r:id="R2e5161f66d4f49e1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5" hidden="0" customWidth="1"/>
    <x:col min="4" max="4" width="14" hidden="0" customWidth="1"/>
    <x:col min="5" max="5" width="38" hidden="0" customWidth="1"/>
    <x:col min="6" max="6" width="32" hidden="0" customWidth="1"/>
    <x:col min="7" max="7" width="44" hidden="0" customWidth="1"/>
    <x:col min="8" max="8" width="44" hidden="0" customWidth="1"/>
    <x:col min="9" max="9" width="25" hidden="0" customWidth="1"/>
    <x:col min="10" max="10" width="12" hidden="0" customWidth="1"/>
    <x:col min="11" max="11" width="12" hidden="0" customWidth="1"/>
    <x:col min="12" max="12" width="26" hidden="0" customWidth="1"/>
  </x:cols>
  <x:sheetData>
    <x:row r="1" ht="28" customHeight="1">
      <x:c r="A1" s="94" t="str">
        <x:v>ColdChainRx Test Case Register</x:v>
      </x:c>
      <x:c r="B1" s="94"/>
      <x:c r="C1" s="94"/>
      <x:c r="D1" s="94"/>
      <x:c r="E1" s="94"/>
      <x:c r="F1" s="94"/>
      <x:c r="G1" s="94"/>
      <x:c r="H1" s="94"/>
      <x:c r="I1" s="94"/>
      <x:c r="J1" s="94"/>
      <x:c r="K1" s="94"/>
      <x:c r="L1" s="94"/>
    </x:row>
    <x:row r="2" ht="20" customHeight="1"/>
    <x:row r="3">
      <x:c r="A3" s="41" t="str">
        <x:v>All test cases include FR traceability, preconditions, inputs, execution steps, expected result, actual result placeholder, verdict, and positive/negative/boundary/performance classification.</x:v>
      </x:c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</x:row>
    <x:row r="5">
      <x:c r="A5" s="23" t="str">
        <x:v>TC ID</x:v>
      </x:c>
      <x:c r="B5" s="23" t="str">
        <x:v>Use Case</x:v>
      </x:c>
      <x:c r="C5" s="23" t="str">
        <x:v>FR ID</x:v>
      </x:c>
      <x:c r="D5" s="23" t="str">
        <x:v>Test Type</x:v>
      </x:c>
      <x:c r="E5" s="23" t="str">
        <x:v>Preconditions</x:v>
      </x:c>
      <x:c r="F5" s="23" t="str">
        <x:v>Input Data</x:v>
      </x:c>
      <x:c r="G5" s="23" t="str">
        <x:v>Execution Steps</x:v>
      </x:c>
      <x:c r="H5" s="23" t="str">
        <x:v>Expected Result</x:v>
      </x:c>
      <x:c r="I5" s="23" t="str">
        <x:v>Actual Result</x:v>
      </x:c>
      <x:c r="J5" s="23" t="str">
        <x:v>Verdict</x:v>
      </x:c>
      <x:c r="K5" s="23" t="str">
        <x:v>Priority</x:v>
      </x:c>
      <x:c r="L5" s="23" t="str">
        <x:v>Owner</x:v>
      </x:c>
    </x:row>
    <x:row r="6">
      <x:c r="A6" s="14" t="str">
        <x:v>TC-01</x:v>
      </x:c>
      <x:c r="B6" s="14" t="str">
        <x:v>UC-03 Create Shipment</x:v>
      </x:c>
      <x:c r="C6" s="14" t="str">
        <x:v>FR-02</x:v>
      </x:c>
      <x:c r="D6" s="14" t="str">
        <x:v>Positive</x:v>
      </x:c>
      <x:c r="E6" s="14" t="str">
        <x:v>Warehouse Manager is logged in; two valid batches exist.</x:v>
      </x:c>
      <x:c r="F6" s="14" t="str">
        <x:v>Batch B-INS-044; Batch B-VAC-210; Sensor S-100; Driver D-07</x:v>
      </x:c>
      <x:c r="G6" s="14" t="str">
        <x:v>Open Create Shipment, select batches, link sensor, assign driver, save.</x:v>
      </x:c>
      <x:c r="H6" s="14" t="str">
        <x:v>Shipment is created with unique ID and status Prepared.</x:v>
      </x:c>
      <x:c r="I6" s="14" t="str">
        <x:v>To be recorded during execution</x:v>
      </x:c>
      <x:c r="J6" s="14" t="str">
        <x:v>Not Run</x:v>
      </x:c>
      <x:c r="K6" s="14" t="str">
        <x:v>High</x:v>
      </x:c>
      <x:c r="L6" s="14" t="str">
        <x:v>Member 3 - Prototype/QA Lead</x:v>
      </x:c>
    </x:row>
    <x:row r="7">
      <x:c r="A7" s="14" t="str">
        <x:v>TC-02</x:v>
      </x:c>
      <x:c r="B7" s="14" t="str">
        <x:v>UC-03 Create Shipment</x:v>
      </x:c>
      <x:c r="C7" s="14" t="str">
        <x:v>FR-03</x:v>
      </x:c>
      <x:c r="D7" s="14" t="str">
        <x:v>Negative</x:v>
      </x:c>
      <x:c r="E7" s="14" t="str">
        <x:v>Warehouse Manager is logged in; no sensor selected.</x:v>
      </x:c>
      <x:c r="F7" s="14" t="str">
        <x:v>Batch B-VAC-210; Driver D-07; Sensor blank</x:v>
      </x:c>
      <x:c r="G7" s="14" t="str">
        <x:v>Try to save shipment without linking sensor.</x:v>
      </x:c>
      <x:c r="H7" s="14" t="str">
        <x:v>System blocks save and displays 'Sensor is required before dispatch'.</x:v>
      </x:c>
      <x:c r="I7" s="14" t="str">
        <x:v>To be recorded during execution</x:v>
      </x:c>
      <x:c r="J7" s="14" t="str">
        <x:v>Not Run</x:v>
      </x:c>
      <x:c r="K7" s="14" t="str">
        <x:v>High</x:v>
      </x:c>
      <x:c r="L7" s="14" t="str">
        <x:v>Member 3 - Prototype/QA Lead</x:v>
      </x:c>
    </x:row>
    <x:row r="8">
      <x:c r="A8" s="14" t="str">
        <x:v>TC-03</x:v>
      </x:c>
      <x:c r="B8" s="14" t="str">
        <x:v>UC-08 Detect Breach</x:v>
      </x:c>
      <x:c r="C8" s="14" t="str">
        <x:v>FR-06</x:v>
      </x:c>
      <x:c r="D8" s="14" t="str">
        <x:v>Positive</x:v>
      </x:c>
      <x:c r="E8" s="14" t="str">
        <x:v>Shipment has approved range 2°C to 8°C.</x:v>
      </x:c>
      <x:c r="F8" s="14" t="str">
        <x:v>Temperature readings: 4.2°C, 4.4°C, 4.1°C</x:v>
      </x:c>
      <x:c r="G8" s="14" t="str">
        <x:v>Submit readings through simulated sensor gateway.</x:v>
      </x:c>
      <x:c r="H8" s="14" t="str">
        <x:v>Readings are stored; no breach is created; shipment remains In Transit.</x:v>
      </x:c>
      <x:c r="I8" s="14" t="str">
        <x:v>To be recorded during execution</x:v>
      </x:c>
      <x:c r="J8" s="14" t="str">
        <x:v>Not Run</x:v>
      </x:c>
      <x:c r="K8" s="14" t="str">
        <x:v>High</x:v>
      </x:c>
      <x:c r="L8" s="14" t="str">
        <x:v>Member 3 - Prototype/QA Lead</x:v>
      </x:c>
    </x:row>
    <x:row r="9">
      <x:c r="A9" s="14" t="str">
        <x:v>TC-04</x:v>
      </x:c>
      <x:c r="B9" s="14" t="str">
        <x:v>UC-08 Detect Breach</x:v>
      </x:c>
      <x:c r="C9" s="14" t="str">
        <x:v>FR-06</x:v>
      </x:c>
      <x:c r="D9" s="14" t="str">
        <x:v>Boundary</x:v>
      </x:c>
      <x:c r="E9" s="14" t="str">
        <x:v>Shipment has approved range 2°C to 8°C.</x:v>
      </x:c>
      <x:c r="F9" s="14" t="str">
        <x:v>Temperature reading exactly 8.0°C</x:v>
      </x:c>
      <x:c r="G9" s="14" t="str">
        <x:v>Submit boundary reading through sensor gateway.</x:v>
      </x:c>
      <x:c r="H9" s="14" t="str">
        <x:v>Reading is accepted as within range and no breach is created.</x:v>
      </x:c>
      <x:c r="I9" s="14" t="str">
        <x:v>To be recorded during execution</x:v>
      </x:c>
      <x:c r="J9" s="14" t="str">
        <x:v>Not Run</x:v>
      </x:c>
      <x:c r="K9" s="14" t="str">
        <x:v>High</x:v>
      </x:c>
      <x:c r="L9" s="14" t="str">
        <x:v>Member 3 - Prototype/QA Lead</x:v>
      </x:c>
    </x:row>
    <x:row r="10">
      <x:c r="A10" s="14" t="str">
        <x:v>TC-05</x:v>
      </x:c>
      <x:c r="B10" s="14" t="str">
        <x:v>UC-08 Detect Breach</x:v>
      </x:c>
      <x:c r="C10" s="14" t="str">
        <x:v>FR-06, FR-08</x:v>
      </x:c>
      <x:c r="D10" s="14" t="str">
        <x:v>Negative</x:v>
      </x:c>
      <x:c r="E10" s="14" t="str">
        <x:v>Shipment has approved range 2°C to 8°C.</x:v>
      </x:c>
      <x:c r="F10" s="14" t="str">
        <x:v>Temperature = 9.5°C for more than 5 continuous minutes</x:v>
      </x:c>
      <x:c r="G10" s="14" t="str">
        <x:v>Submit repeated out-of-range readings over breach window.</x:v>
      </x:c>
      <x:c r="H10" s="14" t="str">
        <x:v>Breach record is created; shipment status changes to Quarantined.</x:v>
      </x:c>
      <x:c r="I10" s="14" t="str">
        <x:v>To be recorded during execution</x:v>
      </x:c>
      <x:c r="J10" s="14" t="str">
        <x:v>Not Run</x:v>
      </x:c>
      <x:c r="K10" s="14" t="str">
        <x:v>Critical</x:v>
      </x:c>
      <x:c r="L10" s="14" t="str">
        <x:v>Member 3 - Prototype/QA Lead</x:v>
      </x:c>
    </x:row>
    <x:row r="11">
      <x:c r="A11" s="14" t="str">
        <x:v>TC-06</x:v>
      </x:c>
      <x:c r="B11" s="14" t="str">
        <x:v>UC-18 Send Notification</x:v>
      </x:c>
      <x:c r="C11" s="14" t="str">
        <x:v>FR-07</x:v>
      </x:c>
      <x:c r="D11" s="14" t="str">
        <x:v>Integration</x:v>
      </x:c>
      <x:c r="E11" s="14" t="str">
        <x:v>Confirmed breach exists for active shipment.</x:v>
      </x:c>
      <x:c r="F11" s="14" t="str">
        <x:v>Breach ID BR-1004; recipients QA-01 and WM-01</x:v>
      </x:c>
      <x:c r="G11" s="14" t="str">
        <x:v>Trigger breach notification service.</x:v>
      </x:c>
      <x:c r="H11" s="14" t="str">
        <x:v>Warehouse Manager and QA Officer receive alert within 10 seconds.</x:v>
      </x:c>
      <x:c r="I11" s="14" t="str">
        <x:v>To be recorded during execution</x:v>
      </x:c>
      <x:c r="J11" s="14" t="str">
        <x:v>Not Run</x:v>
      </x:c>
      <x:c r="K11" s="14" t="str">
        <x:v>High</x:v>
      </x:c>
      <x:c r="L11" s="14" t="str">
        <x:v>Member 3 - Prototype/QA Lead</x:v>
      </x:c>
    </x:row>
    <x:row r="12">
      <x:c r="A12" s="14" t="str">
        <x:v>TC-07</x:v>
      </x:c>
      <x:c r="B12" s="14" t="str">
        <x:v>UC-11 Receive Shipment</x:v>
      </x:c>
      <x:c r="C12" s="14" t="str">
        <x:v>FR-10</x:v>
      </x:c>
      <x:c r="D12" s="14" t="str">
        <x:v>Positive</x:v>
      </x:c>
      <x:c r="E12" s="14" t="str">
        <x:v>Hospital Pharmacist is logged in; shipment status is In Transit and no active breach.</x:v>
      </x:c>
      <x:c r="F12" s="14" t="str">
        <x:v>Shipment QR SH-2026-004</x:v>
      </x:c>
      <x:c r="G12" s="14" t="str">
        <x:v>Scan QR code on receiving page and press Accept.</x:v>
      </x:c>
      <x:c r="H12" s="14" t="str">
        <x:v>Shipment is accepted and status changes to Received.</x:v>
      </x:c>
      <x:c r="I12" s="14" t="str">
        <x:v>To be recorded during execution</x:v>
      </x:c>
      <x:c r="J12" s="14" t="str">
        <x:v>Not Run</x:v>
      </x:c>
      <x:c r="K12" s="14" t="str">
        <x:v>High</x:v>
      </x:c>
      <x:c r="L12" s="14" t="str">
        <x:v>Member 3 - Prototype/QA Lead</x:v>
      </x:c>
    </x:row>
    <x:row r="13">
      <x:c r="A13" s="14" t="str">
        <x:v>TC-08</x:v>
      </x:c>
      <x:c r="B13" s="14" t="str">
        <x:v>UC-11 Receive Shipment</x:v>
      </x:c>
      <x:c r="C13" s="14" t="str">
        <x:v>FR-10</x:v>
      </x:c>
      <x:c r="D13" s="14" t="str">
        <x:v>Negative</x:v>
      </x:c>
      <x:c r="E13" s="14" t="str">
        <x:v>Shipment status is Quarantined.</x:v>
      </x:c>
      <x:c r="F13" s="14" t="str">
        <x:v>Shipment QR SH-2026-009</x:v>
      </x:c>
      <x:c r="G13" s="14" t="str">
        <x:v>Scan QR code and press Accept.</x:v>
      </x:c>
      <x:c r="H13" s="14" t="str">
        <x:v>System prevents acceptance and displays quarantine warning.</x:v>
      </x:c>
      <x:c r="I13" s="14" t="str">
        <x:v>To be recorded during execution</x:v>
      </x:c>
      <x:c r="J13" s="14" t="str">
        <x:v>Not Run</x:v>
      </x:c>
      <x:c r="K13" s="14" t="str">
        <x:v>Critical</x:v>
      </x:c>
      <x:c r="L13" s="14" t="str">
        <x:v>Member 3 - Prototype/QA Lead</x:v>
      </x:c>
    </x:row>
    <x:row r="14">
      <x:c r="A14" s="14" t="str">
        <x:v>TC-09</x:v>
      </x:c>
      <x:c r="B14" s="14" t="str">
        <x:v>UC-12 Scan Batch</x:v>
      </x:c>
      <x:c r="C14" s="14" t="str">
        <x:v>FR-11</x:v>
      </x:c>
      <x:c r="D14" s="14" t="str">
        <x:v>Negative</x:v>
      </x:c>
      <x:c r="E14" s="14" t="str">
        <x:v>Hospital receiving page is open.</x:v>
      </x:c>
      <x:c r="F14" s="14" t="str">
        <x:v>Unknown QR code B-UNKNOWN-999</x:v>
      </x:c>
      <x:c r="G14" s="14" t="str">
        <x:v>Scan unknown batch QR code.</x:v>
      </x:c>
      <x:c r="H14" s="14" t="str">
        <x:v>System displays 'Batch not found' and prevents receiving confirmation.</x:v>
      </x:c>
      <x:c r="I14" s="14" t="str">
        <x:v>To be recorded during execution</x:v>
      </x:c>
      <x:c r="J14" s="14" t="str">
        <x:v>Not Run</x:v>
      </x:c>
      <x:c r="K14" s="14" t="str">
        <x:v>Medium</x:v>
      </x:c>
      <x:c r="L14" s="14" t="str">
        <x:v>Member 3 - Prototype/QA Lead</x:v>
      </x:c>
    </x:row>
    <x:row r="15">
      <x:c r="A15" s="14" t="str">
        <x:v>TC-10</x:v>
      </x:c>
      <x:c r="B15" s="14" t="str">
        <x:v>UC-13 Issue Recall</x:v>
      </x:c>
      <x:c r="C15" s="14" t="str">
        <x:v>FR-12</x:v>
      </x:c>
      <x:c r="D15" s="14" t="str">
        <x:v>Positive</x:v>
      </x:c>
      <x:c r="E15" s="14" t="str">
        <x:v>Supplier is logged in; batch B-VAC-210 exists.</x:v>
      </x:c>
      <x:c r="F15" s="14" t="str">
        <x:v>Batch B-VAC-210; reason: potency defect; severity: High</x:v>
      </x:c>
      <x:c r="G15" s="14" t="str">
        <x:v>Create recall notice and confirm.</x:v>
      </x:c>
      <x:c r="H15" s="14" t="str">
        <x:v>Recall notice is saved with issue date, severity, reason, and supplier contact.</x:v>
      </x:c>
      <x:c r="I15" s="14" t="str">
        <x:v>To be recorded during execution</x:v>
      </x:c>
      <x:c r="J15" s="14" t="str">
        <x:v>Not Run</x:v>
      </x:c>
      <x:c r="K15" s="14" t="str">
        <x:v>High</x:v>
      </x:c>
      <x:c r="L15" s="14" t="str">
        <x:v>Member 3 - Prototype/QA Lead</x:v>
      </x:c>
    </x:row>
    <x:row r="16">
      <x:c r="A16" s="14" t="str">
        <x:v>TC-11</x:v>
      </x:c>
      <x:c r="B16" s="14" t="str">
        <x:v>UC-14 Trace Recalled Batch</x:v>
      </x:c>
      <x:c r="C16" s="14" t="str">
        <x:v>FR-13</x:v>
      </x:c>
      <x:c r="D16" s="14" t="str">
        <x:v>Performance</x:v>
      </x:c>
      <x:c r="E16" s="14" t="str">
        <x:v>10,000 movement records exist in test dataset.</x:v>
      </x:c>
      <x:c r="F16" s="14" t="str">
        <x:v>Recall ID RC-2026-002 for B-VAC-210</x:v>
      </x:c>
      <x:c r="G16" s="14" t="str">
        <x:v>Run affected-location trace.</x:v>
      </x:c>
      <x:c r="H16" s="14" t="str">
        <x:v>System returns affected locations within 5 seconds.</x:v>
      </x:c>
      <x:c r="I16" s="14" t="str">
        <x:v>To be recorded during execution</x:v>
      </x:c>
      <x:c r="J16" s="14" t="str">
        <x:v>Not Run</x:v>
      </x:c>
      <x:c r="K16" s="14" t="str">
        <x:v>High</x:v>
      </x:c>
      <x:c r="L16" s="14" t="str">
        <x:v>Member 3 - Prototype/QA Lead</x:v>
      </x:c>
    </x:row>
    <x:row r="17">
      <x:c r="A17" s="14" t="str">
        <x:v>TC-12</x:v>
      </x:c>
      <x:c r="B17" s="14" t="str">
        <x:v>UC-18 Send Recall Notifications</x:v>
      </x:c>
      <x:c r="C17" s="14" t="str">
        <x:v>FR-14</x:v>
      </x:c>
      <x:c r="D17" s="14" t="str">
        <x:v>Integration</x:v>
      </x:c>
      <x:c r="E17" s="14" t="str">
        <x:v>Recall has affected locations list.</x:v>
      </x:c>
      <x:c r="F17" s="14" t="str">
        <x:v>Affected users at 12 hospitals/pharmacies</x:v>
      </x:c>
      <x:c r="G17" s="14" t="str">
        <x:v>Confirm recall notification sending.</x:v>
      </x:c>
      <x:c r="H17" s="14" t="str">
        <x:v>All affected locations receive notification within 60 seconds or are listed in retry queue.</x:v>
      </x:c>
      <x:c r="I17" s="14" t="str">
        <x:v>To be recorded during execution</x:v>
      </x:c>
      <x:c r="J17" s="14" t="str">
        <x:v>Not Run</x:v>
      </x:c>
      <x:c r="K17" s="14" t="str">
        <x:v>High</x:v>
      </x:c>
      <x:c r="L17" s="14" t="str">
        <x:v>Member 3 - Prototype/QA Lead</x:v>
      </x:c>
    </x:row>
  </x:sheetData>
  <x:mergeCells>
    <x:mergeCell ref="A1:L1"/>
    <x:mergeCell ref="A3:L3"/>
  </x:mergeCells>
  <x:conditionalFormatting sqref="J6:J17">
    <x:cfRule type="expression" dxfId="17" priority="1">
      <x:formula>J6="Pass"</x:formula>
    </x:cfRule>
    <x:cfRule type="expression" dxfId="18" priority="2">
      <x:formula>J6="Fail"</x:formula>
    </x:cfRule>
    <x:cfRule type="expression" dxfId="19" priority="3">
      <x:formula>J6="Blocked"</x:formula>
    </x:cfRule>
  </x:conditionalFormatting>
  <x:dataValidations count="2">
    <x:dataValidation type="list" sqref="D6:D17">
      <x:formula1>"Positive,Negative,Boundary,Performance,Security,Integration"</x:formula1>
    </x:dataValidation>
    <x:dataValidation type="list" sqref="J6:J17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40b8ed81a8467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44" hidden="0" customWidth="1"/>
    <x:col min="4" max="4" width="24" hidden="0" customWidth="1"/>
    <x:col min="5" max="5" width="30" hidden="0" customWidth="1"/>
    <x:col min="6" max="6" width="20" hidden="0" customWidth="1"/>
    <x:col min="7" max="7" width="28" hidden="0" customWidth="1"/>
    <x:col min="8" max="8" width="14" hidden="0" customWidth="1"/>
    <x:col min="9" max="9" width="36" hidden="0" customWidth="1"/>
  </x:cols>
  <x:sheetData>
    <x:row r="1" ht="28" customHeight="1">
      <x:c r="A1" s="94" t="str">
        <x:v>ColdChainRx Requirements Traceability Matrix</x:v>
      </x:c>
      <x:c r="B1" s="94"/>
      <x:c r="C1" s="94"/>
      <x:c r="D1" s="94"/>
      <x:c r="E1" s="94"/>
      <x:c r="F1" s="94"/>
      <x:c r="G1" s="94"/>
      <x:c r="H1" s="94"/>
      <x:c r="I1" s="94"/>
    </x:row>
    <x:row r="2" ht="20" customHeight="1"/>
    <x:row r="3">
      <x:c r="A3" s="41" t="str">
        <x:v>Every FR must link forward to a use case, class(es), sequence diagram, activity diagram where relevant, test case(s), prototype screen, and current gap status.</x:v>
      </x:c>
      <x:c r="B3" s="41"/>
      <x:c r="C3" s="41"/>
      <x:c r="D3" s="41"/>
      <x:c r="E3" s="41"/>
      <x:c r="F3" s="41"/>
      <x:c r="G3" s="41"/>
      <x:c r="H3" s="41"/>
      <x:c r="I3" s="41"/>
    </x:row>
    <x:row r="5">
      <x:c r="A5" s="23" t="str">
        <x:v>FR ID</x:v>
      </x:c>
      <x:c r="B5" s="23" t="str">
        <x:v>Use Case</x:v>
      </x:c>
      <x:c r="C5" s="23" t="str">
        <x:v>Class(es)</x:v>
      </x:c>
      <x:c r="D5" s="23" t="str">
        <x:v>Sequence Diagram</x:v>
      </x:c>
      <x:c r="E5" s="23" t="str">
        <x:v>Activity Diagram</x:v>
      </x:c>
      <x:c r="F5" s="23" t="str">
        <x:v>Test Case(s)</x:v>
      </x:c>
      <x:c r="G5" s="23" t="str">
        <x:v>Prototype Screen</x:v>
      </x:c>
      <x:c r="H5" s="23" t="str">
        <x:v>Trace Status</x:v>
      </x:c>
      <x:c r="I5" s="23" t="str">
        <x:v>Notes</x:v>
      </x:c>
    </x:row>
    <x:row r="6">
      <x:c r="A6" s="14" t="str">
        <x:v>FR-01</x:v>
      </x:c>
      <x:c r="B6" s="14" t="str">
        <x:v>UC-02 Register Batch</x:v>
      </x:c>
      <x:c r="C6" s="14" t="str">
        <x:v>MedicineBatch, Supplier, AuditLog</x:v>
      </x:c>
      <x:c r="D6" s="14" t="str">
        <x:v>SD-01 Create Shipment</x:v>
      </x:c>
      <x:c r="E6" s="14" t="str">
        <x:v>AD-01 Shipment Creation</x:v>
      </x:c>
      <x:c r="F6" s="14" t="str">
        <x:v>TC-01</x:v>
      </x:c>
      <x:c r="G6" s="14" t="str">
        <x:v>Batch Registration / Create Shipment</x:v>
      </x:c>
      <x:c r="H6" s="14" t="str">
        <x:v>Complete</x:v>
      </x:c>
      <x:c r="I6" s="14" t="str">
        <x:v>Batch data feeds shipment creation.</x:v>
      </x:c>
    </x:row>
    <x:row r="7">
      <x:c r="A7" s="14" t="str">
        <x:v>FR-02</x:v>
      </x:c>
      <x:c r="B7" s="14" t="str">
        <x:v>UC-03 Create Shipment</x:v>
      </x:c>
      <x:c r="C7" s="14" t="str">
        <x:v>Shipment, MedicineBatch, ColdBox, AuditLog</x:v>
      </x:c>
      <x:c r="D7" s="14" t="str">
        <x:v>SD-01 Create Shipment</x:v>
      </x:c>
      <x:c r="E7" s="14" t="str">
        <x:v>AD-01 Shipment Creation</x:v>
      </x:c>
      <x:c r="F7" s="14" t="str">
        <x:v>TC-01</x:v>
      </x:c>
      <x:c r="G7" s="14" t="str">
        <x:v>Create Shipment</x:v>
      </x:c>
      <x:c r="H7" s="14" t="str">
        <x:v>Complete</x:v>
      </x:c>
      <x:c r="I7" s="14" t="str">
        <x:v>Core warehouse workflow.</x:v>
      </x:c>
    </x:row>
    <x:row r="8">
      <x:c r="A8" s="14" t="str">
        <x:v>FR-03</x:v>
      </x:c>
      <x:c r="B8" s="14" t="str">
        <x:v>UC-04 Assign Driver</x:v>
      </x:c>
      <x:c r="C8" s="14" t="str">
        <x:v>Shipment, Driver, Vehicle</x:v>
      </x:c>
      <x:c r="D8" s="14" t="str">
        <x:v>SD-01 Create Shipment</x:v>
      </x:c>
      <x:c r="E8" s="14" t="str">
        <x:v>AD-01 Shipment Creation</x:v>
      </x:c>
      <x:c r="F8" s="14" t="str">
        <x:v>TC-02</x:v>
      </x:c>
      <x:c r="G8" s="14" t="str">
        <x:v>Create Shipment</x:v>
      </x:c>
      <x:c r="H8" s="14" t="str">
        <x:v>Complete</x:v>
      </x:c>
      <x:c r="I8" s="14" t="str">
        <x:v>Driver assignment blocks dispatch if missing.</x:v>
      </x:c>
    </x:row>
    <x:row r="9">
      <x:c r="A9" s="14" t="str">
        <x:v>FR-04</x:v>
      </x:c>
      <x:c r="B9" s="14" t="str">
        <x:v>UC-05 Start Delivery</x:v>
      </x:c>
      <x:c r="C9" s="14" t="str">
        <x:v>Shipment, Driver, AuditLog</x:v>
      </x:c>
      <x:c r="D9" s="14" t="str">
        <x:v>SD-01 Create Shipment</x:v>
      </x:c>
      <x:c r="E9" s="14" t="str">
        <x:v>AD-01 Shipment Creation</x:v>
      </x:c>
      <x:c r="F9" s="14" t="str">
        <x:v>TC-01</x:v>
      </x:c>
      <x:c r="G9" s="14" t="str">
        <x:v>Shipment Tracking</x:v>
      </x:c>
      <x:c r="H9" s="14" t="str">
        <x:v>Complete</x:v>
      </x:c>
      <x:c r="I9" s="14" t="str">
        <x:v>Status transition to In Transit.</x:v>
      </x:c>
    </x:row>
    <x:row r="10">
      <x:c r="A10" s="14" t="str">
        <x:v>FR-05</x:v>
      </x:c>
      <x:c r="B10" s="14" t="str">
        <x:v>UC-07 Receive Sensor Reading</x:v>
      </x:c>
      <x:c r="C10" s="14" t="str">
        <x:v>SensorReading, ColdBox, Shipment</x:v>
      </x:c>
      <x:c r="D10" s="14" t="str">
        <x:v>SD-02 Detect Breach</x:v>
      </x:c>
      <x:c r="E10" s="14" t="str">
        <x:v>AD-02 Breach Handling</x:v>
      </x:c>
      <x:c r="F10" s="14" t="str">
        <x:v>TC-03, TC-04</x:v>
      </x:c>
      <x:c r="G10" s="14" t="str">
        <x:v>Tracking</x:v>
      </x:c>
      <x:c r="H10" s="14" t="str">
        <x:v>Complete</x:v>
      </x:c>
      <x:c r="I10" s="14" t="str">
        <x:v>Raw readings stored for reporting.</x:v>
      </x:c>
    </x:row>
    <x:row r="11">
      <x:c r="A11" s="14" t="str">
        <x:v>FR-06</x:v>
      </x:c>
      <x:c r="B11" s="14" t="str">
        <x:v>UC-08 Detect Breach</x:v>
      </x:c>
      <x:c r="C11" s="14" t="str">
        <x:v>SensorReading, TemperatureBreach, Shipment</x:v>
      </x:c>
      <x:c r="D11" s="14" t="str">
        <x:v>SD-02 Detect Breach</x:v>
      </x:c>
      <x:c r="E11" s="14" t="str">
        <x:v>AD-02 Breach Handling</x:v>
      </x:c>
      <x:c r="F11" s="14" t="str">
        <x:v>TC-03, TC-04, TC-05</x:v>
      </x:c>
      <x:c r="G11" s="14" t="str">
        <x:v>Breach Alert</x:v>
      </x:c>
      <x:c r="H11" s="14" t="str">
        <x:v>Complete</x:v>
      </x:c>
      <x:c r="I11" s="14" t="str">
        <x:v>Boundary cases trace to breach rules.</x:v>
      </x:c>
    </x:row>
    <x:row r="12">
      <x:c r="A12" s="14" t="str">
        <x:v>FR-07</x:v>
      </x:c>
      <x:c r="B12" s="14" t="str">
        <x:v>UC-18 Send Notification</x:v>
      </x:c>
      <x:c r="C12" s="14" t="str">
        <x:v>TemperatureBreach, Notification, User</x:v>
      </x:c>
      <x:c r="D12" s="14" t="str">
        <x:v>SD-02 Detect Breach</x:v>
      </x:c>
      <x:c r="E12" s="14" t="str">
        <x:v>AD-02 Breach Handling</x:v>
      </x:c>
      <x:c r="F12" s="14" t="str">
        <x:v>TC-06</x:v>
      </x:c>
      <x:c r="G12" s="14" t="str">
        <x:v>Breach Alert</x:v>
      </x:c>
      <x:c r="H12" s="14" t="str">
        <x:v>Complete</x:v>
      </x:c>
      <x:c r="I12" s="14" t="str">
        <x:v>Breach alert timing verified.</x:v>
      </x:c>
    </x:row>
    <x:row r="13">
      <x:c r="A13" s="14" t="str">
        <x:v>FR-08</x:v>
      </x:c>
      <x:c r="B13" s="14" t="str">
        <x:v>UC-09 Quarantine Shipment</x:v>
      </x:c>
      <x:c r="C13" s="14" t="str">
        <x:v>Shipment, QuarantineCase, TemperatureBreach</x:v>
      </x:c>
      <x:c r="D13" s="14" t="str">
        <x:v>SD-02 Detect Breach</x:v>
      </x:c>
      <x:c r="E13" s="14" t="str">
        <x:v>AD-02 Breach Handling</x:v>
      </x:c>
      <x:c r="F13" s="14" t="str">
        <x:v>TC-05, TC-08</x:v>
      </x:c>
      <x:c r="G13" s="14" t="str">
        <x:v>Quarantine Review</x:v>
      </x:c>
      <x:c r="H13" s="14" t="str">
        <x:v>Complete</x:v>
      </x:c>
      <x:c r="I13" s="14" t="str">
        <x:v>Business rule prevents unsafe receiving.</x:v>
      </x:c>
    </x:row>
    <x:row r="14">
      <x:c r="A14" s="14" t="str">
        <x:v>FR-09</x:v>
      </x:c>
      <x:c r="B14" s="14" t="str">
        <x:v>UC-10 Review Quarantine</x:v>
      </x:c>
      <x:c r="C14" s="14" t="str">
        <x:v>QuarantineCase, QAOfficer, AuditLog</x:v>
      </x:c>
      <x:c r="D14" s="14" t="str">
        <x:v>SD-02 Detect Breach</x:v>
      </x:c>
      <x:c r="E14" s="14" t="str">
        <x:v>AD-02 Breach Handling</x:v>
      </x:c>
      <x:c r="F14" s="14" t="str">
        <x:v>TC-08</x:v>
      </x:c>
      <x:c r="G14" s="14" t="str">
        <x:v>Quarantine Review</x:v>
      </x:c>
      <x:c r="H14" s="14" t="str">
        <x:v>Complete</x:v>
      </x:c>
      <x:c r="I14" s="14" t="str">
        <x:v>QA decision requires justification.</x:v>
      </x:c>
    </x:row>
    <x:row r="15">
      <x:c r="A15" s="14" t="str">
        <x:v>FR-10</x:v>
      </x:c>
      <x:c r="B15" s="14" t="str">
        <x:v>UC-11 Receive Shipment</x:v>
      </x:c>
      <x:c r="C15" s="14" t="str">
        <x:v>Shipment, HospitalPharmacist, AuditLog</x:v>
      </x:c>
      <x:c r="D15" s="14" t="str">
        <x:v>SD-03 Receive Shipment</x:v>
      </x:c>
      <x:c r="E15" s="14" t="str">
        <x:v>AD-03 Hospital Receiving</x:v>
      </x:c>
      <x:c r="F15" s="14" t="str">
        <x:v>TC-07, TC-08</x:v>
      </x:c>
      <x:c r="G15" s="14" t="str">
        <x:v>Hospital Receiving</x:v>
      </x:c>
      <x:c r="H15" s="14" t="str">
        <x:v>Complete</x:v>
      </x:c>
      <x:c r="I15" s="14" t="str">
        <x:v>Acceptance blocked for unsafe states.</x:v>
      </x:c>
    </x:row>
    <x:row r="16">
      <x:c r="A16" s="14" t="str">
        <x:v>FR-11</x:v>
      </x:c>
      <x:c r="B16" s="14" t="str">
        <x:v>UC-12 Scan Batch QR</x:v>
      </x:c>
      <x:c r="C16" s="14" t="str">
        <x:v>MedicineBatch, Shipment, HospitalPharmacist</x:v>
      </x:c>
      <x:c r="D16" s="14" t="str">
        <x:v>SD-03 Receive Shipment</x:v>
      </x:c>
      <x:c r="E16" s="14" t="str">
        <x:v>AD-03 Hospital Receiving</x:v>
      </x:c>
      <x:c r="F16" s="14" t="str">
        <x:v>TC-09</x:v>
      </x:c>
      <x:c r="G16" s="14" t="str">
        <x:v>Hospital Receiving</x:v>
      </x:c>
      <x:c r="H16" s="14" t="str">
        <x:v>Complete</x:v>
      </x:c>
      <x:c r="I16" s="14" t="str">
        <x:v>Batch verification step.</x:v>
      </x:c>
    </x:row>
    <x:row r="17">
      <x:c r="A17" s="14" t="str">
        <x:v>FR-12</x:v>
      </x:c>
      <x:c r="B17" s="14" t="str">
        <x:v>UC-13 Issue Recall</x:v>
      </x:c>
      <x:c r="C17" s="14" t="str">
        <x:v>RecallNotice, Supplier, MedicineBatch</x:v>
      </x:c>
      <x:c r="D17" s="14" t="str">
        <x:v>SD-04 Issue Recall</x:v>
      </x:c>
      <x:c r="E17" s="14" t="str">
        <x:v>AD-04 Drug Recall</x:v>
      </x:c>
      <x:c r="F17" s="14" t="str">
        <x:v>TC-10</x:v>
      </x:c>
      <x:c r="G17" s="14" t="str">
        <x:v>Drug Recall</x:v>
      </x:c>
      <x:c r="H17" s="14" t="str">
        <x:v>Complete</x:v>
      </x:c>
      <x:c r="I17" s="14" t="str">
        <x:v>Supplier-originated recall.</x:v>
      </x:c>
    </x:row>
    <x:row r="18">
      <x:c r="A18" s="14" t="str">
        <x:v>FR-13</x:v>
      </x:c>
      <x:c r="B18" s="14" t="str">
        <x:v>UC-14 Trace Locations</x:v>
      </x:c>
      <x:c r="C18" s="14" t="str">
        <x:v>RecallNotice, TraceabilityService, Shipment</x:v>
      </x:c>
      <x:c r="D18" s="14" t="str">
        <x:v>SD-04 Issue Recall</x:v>
      </x:c>
      <x:c r="E18" s="14" t="str">
        <x:v>AD-04 Drug Recall</x:v>
      </x:c>
      <x:c r="F18" s="14" t="str">
        <x:v>TC-11</x:v>
      </x:c>
      <x:c r="G18" s="14" t="str">
        <x:v>Drug Recall</x:v>
      </x:c>
      <x:c r="H18" s="14" t="str">
        <x:v>Complete</x:v>
      </x:c>
      <x:c r="I18" s="14" t="str">
        <x:v>Performance-traced to 10,000 records.</x:v>
      </x:c>
    </x:row>
    <x:row r="19">
      <x:c r="A19" s="14" t="str">
        <x:v>FR-14</x:v>
      </x:c>
      <x:c r="B19" s="14" t="str">
        <x:v>UC-18 Send Recall Notifications</x:v>
      </x:c>
      <x:c r="C19" s="14" t="str">
        <x:v>Notification, RecallNotice, User</x:v>
      </x:c>
      <x:c r="D19" s="14" t="str">
        <x:v>SD-04 Issue Recall</x:v>
      </x:c>
      <x:c r="E19" s="14" t="str">
        <x:v>AD-04 Drug Recall</x:v>
      </x:c>
      <x:c r="F19" s="14" t="str">
        <x:v>TC-12</x:v>
      </x:c>
      <x:c r="G19" s="14" t="str">
        <x:v>Drug Recall</x:v>
      </x:c>
      <x:c r="H19" s="14" t="str">
        <x:v>Complete</x:v>
      </x:c>
      <x:c r="I19" s="14" t="str">
        <x:v>Retry queue acceptable for failed sends.</x:v>
      </x:c>
    </x:row>
    <x:row r="20">
      <x:c r="A20" s="14" t="str">
        <x:v>FR-15</x:v>
      </x:c>
      <x:c r="B20" s="14" t="str">
        <x:v>UC-15 Generate Report</x:v>
      </x:c>
      <x:c r="C20" s="14" t="str">
        <x:v>ComplianceReport, Shipment, SensorReading</x:v>
      </x:c>
      <x:c r="D20" s="14" t="str">
        <x:v>SD-04 Issue Recall</x:v>
      </x:c>
      <x:c r="E20" s="14" t="str">
        <x:v>AD-04 Drug Recall</x:v>
      </x:c>
      <x:c r="F20" s="14" t="str">
        <x:v>TC-11</x:v>
      </x:c>
      <x:c r="G20" s="14" t="str">
        <x:v>Reports</x:v>
      </x:c>
      <x:c r="H20" s="14" t="str">
        <x:v>Complete</x:v>
      </x:c>
      <x:c r="I20" s="14" t="str">
        <x:v>Report uses traceability data.</x:v>
      </x:c>
    </x:row>
    <x:row r="21">
      <x:c r="A21" s="14" t="str">
        <x:v>FR-16</x:v>
      </x:c>
      <x:c r="B21" s="14" t="str">
        <x:v>UC-16 Manage Users</x:v>
      </x:c>
      <x:c r="C21" s="14" t="str">
        <x:v>User, SystemAdministrator, AuditLog</x:v>
      </x:c>
      <x:c r="D21" s="14" t="str">
        <x:v>SD-03 Receive Shipment</x:v>
      </x:c>
      <x:c r="E21" s="14" t="str">
        <x:v>N/A</x:v>
      </x:c>
      <x:c r="F21" s="14" t="str">
        <x:v>TC-07</x:v>
      </x:c>
      <x:c r="G21" s="14" t="str">
        <x:v>Admin/User Management</x:v>
      </x:c>
      <x:c r="H21" s="14" t="str">
        <x:v>Complete</x:v>
      </x:c>
      <x:c r="I21" s="14" t="str">
        <x:v>Login/security pages in prototype.</x:v>
      </x:c>
    </x:row>
    <x:row r="22">
      <x:c r="A22" s="14" t="str">
        <x:v>FR-17</x:v>
      </x:c>
      <x:c r="B22" s="14" t="str">
        <x:v>UC-17 Audit Logs</x:v>
      </x:c>
      <x:c r="C22" s="14" t="str">
        <x:v>AuditLog, User, Shipment</x:v>
      </x:c>
      <x:c r="D22" s="14" t="str">
        <x:v>SD-02 Detect Breach</x:v>
      </x:c>
      <x:c r="E22" s="14" t="str">
        <x:v>AD-02 Breach Handling</x:v>
      </x:c>
      <x:c r="F22" s="14" t="str">
        <x:v>TC-05, TC-10</x:v>
      </x:c>
      <x:c r="G22" s="14" t="str">
        <x:v>Audit Log / Reports</x:v>
      </x:c>
      <x:c r="H22" s="14" t="str">
        <x:v>Complete</x:v>
      </x:c>
      <x:c r="I22" s="14" t="str">
        <x:v>Critical action logging.</x:v>
      </x:c>
    </x:row>
    <x:row r="23">
      <x:c r="A23" s="14" t="str">
        <x:v>FR-18</x:v>
      </x:c>
      <x:c r="B23" s="14" t="str">
        <x:v>UC-17 View Dashboard</x:v>
      </x:c>
      <x:c r="C23" s="14" t="str">
        <x:v>Shipment, TemperatureBreach, QuarantineCase, RecallNotice</x:v>
      </x:c>
      <x:c r="D23" s="14" t="str">
        <x:v>SD-02 Detect Breach</x:v>
      </x:c>
      <x:c r="E23" s="14" t="str">
        <x:v>AD-02 Breach Handling</x:v>
      </x:c>
      <x:c r="F23" s="14" t="str">
        <x:v>TC-03, TC-05</x:v>
      </x:c>
      <x:c r="G23" s="14" t="str">
        <x:v>Dashboard</x:v>
      </x:c>
      <x:c r="H23" s="14" t="str">
        <x:v>Complete</x:v>
      </x:c>
      <x:c r="I23" s="14" t="str">
        <x:v>Dashboard refresh traced to NFR-01.</x:v>
      </x:c>
    </x:row>
  </x:sheetData>
  <x:mergeCells>
    <x:mergeCell ref="A1:I1"/>
    <x:mergeCell ref="A3:I3"/>
  </x:mergeCells>
  <x:conditionalFormatting sqref="H6:H23">
    <x:cfRule type="expression" dxfId="20" priority="1">
      <x:formula>H6="Complete"</x:formula>
    </x:cfRule>
    <x:cfRule type="expression" dxfId="21" priority="2">
      <x:formula>H6="Gap"</x:formula>
    </x:cfRule>
    <x:cfRule type="expression" dxfId="22" priority="3">
      <x:formula>H6="Needs Review"</x:formula>
    </x:cfRule>
  </x:conditionalFormatting>
  <x:dataValidations count="1">
    <x:dataValidation type="list" sqref="H6:H23">
      <x:formula1>"Complete,Gap,Needs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d1e0ba94384d4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42" hidden="0" customWidth="1"/>
    <x:col min="5" max="5" width="32" hidden="0" customWidth="1"/>
    <x:col min="6" max="6" width="36" hidden="0" customWidth="1"/>
    <x:col min="7" max="7" width="14" hidden="0" customWidth="1"/>
    <x:col min="8" max="8" width="14" hidden="0" customWidth="1"/>
  </x:cols>
  <x:sheetData>
    <x:row r="1" ht="28" customHeight="1">
      <x:c r="A1" s="94" t="str">
        <x:v>ColdChainRx Resource Plan &amp; Individual Contribution Baseline</x:v>
      </x:c>
      <x:c r="B1" s="94"/>
      <x:c r="C1" s="94"/>
      <x:c r="D1" s="94"/>
      <x:c r="E1" s="94"/>
      <x:c r="F1" s="94"/>
      <x:c r="G1" s="94"/>
      <x:c r="H1" s="94"/>
    </x:row>
    <x:row r="2" ht="20" customHeight="1"/>
    <x:row r="3">
      <x:c r="A3" s="23" t="str">
        <x:v>Resource ID</x:v>
      </x:c>
      <x:c r="B3" s="23" t="str">
        <x:v>Placeholder Name</x:v>
      </x:c>
      <x:c r="C3" s="23" t="str">
        <x:v>Project Role</x:v>
      </x:c>
      <x:c r="D3" s="23" t="str">
        <x:v>Primary Responsibility</x:v>
      </x:c>
      <x:c r="E3" s="23" t="str">
        <x:v>Secondary Responsibility</x:v>
      </x:c>
      <x:c r="F3" s="23" t="str">
        <x:v>Key Evidence</x:v>
      </x:c>
      <x:c r="G3" s="23" t="str">
        <x:v>Planned Hours</x:v>
      </x:c>
      <x:c r="H3" s="23" t="str">
        <x:v>Actual Hours</x:v>
      </x:c>
    </x:row>
    <x:row r="4">
      <x:c r="A4" s="14" t="str">
        <x:v>RS-01</x:v>
      </x:c>
      <x:c r="B4" s="14" t="str">
        <x:v>Member 1</x:v>
      </x:c>
      <x:c r="C4" s="14" t="str">
        <x:v>Requirements Lead</x:v>
      </x:c>
      <x:c r="D4" s="14" t="str">
        <x:v>Problem statement, scope, FR/NFR register, references</x:v>
      </x:c>
      <x:c r="E4" s="14" t="str">
        <x:v>Traceability review</x:v>
      </x:c>
      <x:c r="F4" s="14" t="str">
        <x:v>Word section drafts + requirements commits</x:v>
      </x:c>
      <x:c r="G4" s="14" t="n">
        <x:v>28</x:v>
      </x:c>
      <x:c r="H4" s="14" t="str"/>
    </x:row>
    <x:row r="5">
      <x:c r="A5" s="14" t="str">
        <x:v>RS-02</x:v>
      </x:c>
      <x:c r="B5" s="14" t="str">
        <x:v>Member 2</x:v>
      </x:c>
      <x:c r="C5" s="14" t="str">
        <x:v>UML / Design Lead</x:v>
      </x:c>
      <x:c r="D5" s="14" t="str">
        <x:v>StarUML diagrams, context/interface diagrams, class and sequence consistency</x:v>
      </x:c>
      <x:c r="E5" s="14" t="str">
        <x:v>SRS design descriptions</x:v>
      </x:c>
      <x:c r="F5" s="14" t="str">
        <x:v>Diagram source files + exported images</x:v>
      </x:c>
      <x:c r="G5" s="14" t="n">
        <x:v>30</x:v>
      </x:c>
      <x:c r="H5" s="14" t="str"/>
    </x:row>
    <x:row r="6">
      <x:c r="A6" s="14" t="str">
        <x:v>RS-03</x:v>
      </x:c>
      <x:c r="B6" s="14" t="str">
        <x:v>Member 3</x:v>
      </x:c>
      <x:c r="C6" s="14" t="str">
        <x:v>Prototype &amp; QA Lead</x:v>
      </x:c>
      <x:c r="D6" s="14" t="str">
        <x:v>HTML prototype, test cases, risk register, Gantt updates</x:v>
      </x:c>
      <x:c r="E6" s="14" t="str">
        <x:v>PowerPoint assembly</x:v>
      </x:c>
      <x:c r="F6" s="14" t="str">
        <x:v>GitHub commits + screenshots</x:v>
      </x:c>
      <x:c r="G6" s="14" t="n">
        <x:v>30</x:v>
      </x:c>
      <x:c r="H6" s="14" t="str"/>
    </x:row>
    <x:row r="7">
      <x:c r="A7" s="14" t="str">
        <x:v>RS-04</x:v>
      </x:c>
      <x:c r="B7" s="14" t="str">
        <x:v>All Members</x:v>
      </x:c>
      <x:c r="C7" s="14" t="str">
        <x:v>Defense Team</x:v>
      </x:c>
      <x:c r="D7" s="14" t="str">
        <x:v>Final review, mock viva, consistency check</x:v>
      </x:c>
      <x:c r="E7" s="14" t="str">
        <x:v>Submission packaging</x:v>
      </x:c>
      <x:c r="F7" s="14" t="str">
        <x:v>Signed contribution log</x:v>
      </x:c>
      <x:c r="G7" s="14" t="n">
        <x:v>12</x:v>
      </x:c>
      <x:c r="H7" s="14" t="str"/>
    </x:row>
    <x:row r="10">
      <x:c r="A10" s="27" t="str">
        <x:v>Contribution Evidence Checklist</x:v>
      </x:c>
      <x:c r="B10" s="34" t="str">
        <x:v>Status</x:v>
      </x:c>
    </x:row>
    <x:row r="11">
      <x:c r="A11" s="14" t="str">
        <x:v>GitHub repository created</x:v>
      </x:c>
      <x:c r="B11" t="str">
        <x:v>Planned</x:v>
      </x:c>
    </x:row>
    <x:row r="12">
      <x:c r="A12" s="14" t="str">
        <x:v>Each member has at least 5 meaningful commits</x:v>
      </x:c>
      <x:c r="B12" t="str">
        <x:v>Planned</x:v>
      </x:c>
    </x:row>
    <x:row r="13">
      <x:c r="A13" s="14" t="str">
        <x:v>Diagram source files retained</x:v>
      </x:c>
      <x:c r="B13" t="str">
        <x:v>Planned</x:v>
      </x:c>
    </x:row>
    <x:row r="14">
      <x:c r="A14" s="14" t="str">
        <x:v>Excel planning package retained</x:v>
      </x:c>
      <x:c r="B14" t="str">
        <x:v>Planned</x:v>
      </x:c>
    </x:row>
    <x:row r="15">
      <x:c r="A15" s="14" t="str">
        <x:v>Prototype screenshots included in final report</x:v>
      </x:c>
      <x:c r="B15" t="str">
        <x:v>Planned</x:v>
      </x:c>
    </x:row>
    <x:row r="16">
      <x:c r="A16" s="14" t="str">
        <x:v>Signed contribution log included</x:v>
      </x:c>
      <x:c r="B16" t="str">
        <x:v>Planned</x:v>
      </x:c>
    </x:row>
  </x:sheetData>
  <x:mergeCells>
    <x:mergeCell ref="A1:H1"/>
  </x:mergeCells>
  <x:dataValidations count="1">
    <x:dataValidation type="list" sqref="B11:B16">
      <x:formula1>"Planned,In Progress,Completed,Not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d635310abf4fb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6" hidden="0" customWidth="1"/>
    <x:col min="3" max="3" width="18" hidden="0" customWidth="1"/>
    <x:col min="4" max="4" width="30" hidden="0" customWidth="1"/>
    <x:col min="5" max="5" width="34" hidden="0" customWidth="1"/>
    <x:col min="6" max="6" width="18" hidden="0" customWidth="1"/>
    <x:col min="7" max="7" width="14" hidden="0" customWidth="1"/>
    <x:col min="8" max="8" width="44" hidden="0" customWidth="1"/>
  </x:cols>
  <x:sheetData>
    <x:row r="1" ht="28" customHeight="1">
      <x:c r="A1" s="94" t="str">
        <x:v>ColdChainRx Screenshot &amp; Deliverable Index</x:v>
      </x:c>
      <x:c r="B1" s="94"/>
      <x:c r="C1" s="94"/>
      <x:c r="D1" s="94"/>
      <x:c r="E1" s="94"/>
      <x:c r="F1" s="94"/>
      <x:c r="G1" s="94"/>
      <x:c r="H1" s="94"/>
    </x:row>
    <x:row r="2" ht="20" customHeight="1"/>
    <x:row r="3">
      <x:c r="A3" s="41" t="str">
        <x:v>Use this sheet to track every screenshot/source file that will be inserted into the final Word report and PowerPoint.</x:v>
      </x:c>
      <x:c r="B3" s="41"/>
      <x:c r="C3" s="41"/>
      <x:c r="D3" s="41"/>
      <x:c r="E3" s="41"/>
      <x:c r="F3" s="41"/>
      <x:c r="G3" s="41"/>
      <x:c r="H3" s="41"/>
    </x:row>
    <x:row r="5">
      <x:c r="A5" s="23" t="str">
        <x:v>Figure ID</x:v>
      </x:c>
      <x:c r="B5" s="23" t="str">
        <x:v>Artifact Name</x:v>
      </x:c>
      <x:c r="C5" s="23" t="str">
        <x:v>Tool</x:v>
      </x:c>
      <x:c r="D5" s="23" t="str">
        <x:v>Source File</x:v>
      </x:c>
      <x:c r="E5" s="23" t="str">
        <x:v>Screenshot File</x:v>
      </x:c>
      <x:c r="F5" s="23" t="str">
        <x:v>Report Section</x:v>
      </x:c>
      <x:c r="G5" s="23" t="str">
        <x:v>Status</x:v>
      </x:c>
      <x:c r="H5" s="23" t="str">
        <x:v>Notes</x:v>
      </x:c>
    </x:row>
    <x:row r="6">
      <x:c r="A6" s="14" t="str">
        <x:v>Fig-01</x:v>
      </x:c>
      <x:c r="B6" s="14" t="str">
        <x:v>System Context Diagram</x:v>
      </x:c>
      <x:c r="C6" s="14" t="str">
        <x:v>StarUML/draw.io</x:v>
      </x:c>
      <x:c r="D6" s="14" t="str">
        <x:v>context_diagram</x:v>
      </x:c>
      <x:c r="E6" s="14" t="str">
        <x:v>Fig01_Context_Diagram.png</x:v>
      </x:c>
      <x:c r="F6" s="14" t="str">
        <x:v>5.1</x:v>
      </x:c>
      <x:c r="G6" s="14" t="str">
        <x:v>Planned</x:v>
      </x:c>
      <x:c r="H6" s="14" t="str">
        <x:v>Single process + external entities + labelled data flows</x:v>
      </x:c>
    </x:row>
    <x:row r="7">
      <x:c r="A7" s="14" t="str">
        <x:v>Fig-02</x:v>
      </x:c>
      <x:c r="B7" s="14" t="str">
        <x:v>External Interface Block Diagram</x:v>
      </x:c>
      <x:c r="C7" s="14" t="str">
        <x:v>draw.io/PowerPoint</x:v>
      </x:c>
      <x:c r="D7" s="14" t="str">
        <x:v>interface_block</x:v>
      </x:c>
      <x:c r="E7" s="14" t="str">
        <x:v>Fig02_Interface_Block_Diagram.png</x:v>
      </x:c>
      <x:c r="F7" s="14" t="str">
        <x:v>2.2</x:v>
      </x:c>
      <x:c r="G7" s="14" t="str">
        <x:v>Planned</x:v>
      </x:c>
      <x:c r="H7" s="14" t="str">
        <x:v>Browser, API, DB, sensor, GPS, notifications</x:v>
      </x:c>
    </x:row>
    <x:row r="8">
      <x:c r="A8" s="14" t="str">
        <x:v>Fig-03</x:v>
      </x:c>
      <x:c r="B8" s="14" t="str">
        <x:v>Use Case Diagram</x:v>
      </x:c>
      <x:c r="C8" s="14" t="str">
        <x:v>StarUML</x:v>
      </x:c>
      <x:c r="D8" s="14" t="str">
        <x:v>coldchainrx.mdj</x:v>
      </x:c>
      <x:c r="E8" s="14" t="str">
        <x:v>Fig03_Use_Case_Diagram.png</x:v>
      </x:c>
      <x:c r="F8" s="14" t="str">
        <x:v>5.2</x:v>
      </x:c>
      <x:c r="G8" s="14" t="str">
        <x:v>Planned</x:v>
      </x:c>
      <x:c r="H8" s="14" t="str">
        <x:v>At least 15 use cases</x:v>
      </x:c>
    </x:row>
    <x:row r="9">
      <x:c r="A9" s="14" t="str">
        <x:v>Fig-04</x:v>
      </x:c>
      <x:c r="B9" s="14" t="str">
        <x:v>Activity Diagram - Shipment Creation</x:v>
      </x:c>
      <x:c r="C9" s="14" t="str">
        <x:v>StarUML</x:v>
      </x:c>
      <x:c r="D9" s="14" t="str">
        <x:v>coldchainrx.mdj</x:v>
      </x:c>
      <x:c r="E9" s="14" t="str">
        <x:v>Fig04_AD_Create_Shipment.png</x:v>
      </x:c>
      <x:c r="F9" s="14" t="str">
        <x:v>5.3</x:v>
      </x:c>
      <x:c r="G9" s="14" t="str">
        <x:v>Planned</x:v>
      </x:c>
      <x:c r="H9" s="14" t="str">
        <x:v>Swimlanes: Warehouse Manager, System, Sensor Gateway</x:v>
      </x:c>
    </x:row>
    <x:row r="10">
      <x:c r="A10" s="14" t="str">
        <x:v>Fig-05</x:v>
      </x:c>
      <x:c r="B10" s="14" t="str">
        <x:v>Activity Diagram - Temperature Breach Handling</x:v>
      </x:c>
      <x:c r="C10" s="14" t="str">
        <x:v>StarUML</x:v>
      </x:c>
      <x:c r="D10" s="14" t="str">
        <x:v>coldchainrx.mdj</x:v>
      </x:c>
      <x:c r="E10" s="14" t="str">
        <x:v>Fig05_AD_Temperature_Breach.png</x:v>
      </x:c>
      <x:c r="F10" s="14" t="str">
        <x:v>5.3</x:v>
      </x:c>
      <x:c r="G10" s="14" t="str">
        <x:v>Planned</x:v>
      </x:c>
      <x:c r="H10" s="14" t="str">
        <x:v>Decision nodes and QA branch</x:v>
      </x:c>
    </x:row>
    <x:row r="11">
      <x:c r="A11" s="14" t="str">
        <x:v>Fig-06</x:v>
      </x:c>
      <x:c r="B11" s="14" t="str">
        <x:v>Activity Diagram - Hospital Receiving</x:v>
      </x:c>
      <x:c r="C11" s="14" t="str">
        <x:v>StarUML</x:v>
      </x:c>
      <x:c r="D11" s="14" t="str">
        <x:v>coldchainrx.mdj</x:v>
      </x:c>
      <x:c r="E11" s="14" t="str">
        <x:v>Fig06_AD_Hospital_Receiving.png</x:v>
      </x:c>
      <x:c r="F11" s="14" t="str">
        <x:v>5.3</x:v>
      </x:c>
      <x:c r="G11" s="14" t="str">
        <x:v>Planned</x:v>
      </x:c>
      <x:c r="H11" s="14" t="str">
        <x:v>Accept/reject/quarantine states</x:v>
      </x:c>
    </x:row>
    <x:row r="12">
      <x:c r="A12" s="14" t="str">
        <x:v>Fig-07</x:v>
      </x:c>
      <x:c r="B12" s="14" t="str">
        <x:v>Activity Diagram - Drug Recall</x:v>
      </x:c>
      <x:c r="C12" s="14" t="str">
        <x:v>StarUML</x:v>
      </x:c>
      <x:c r="D12" s="14" t="str">
        <x:v>coldchainrx.mdj</x:v>
      </x:c>
      <x:c r="E12" s="14" t="str">
        <x:v>Fig07_AD_Drug_Recall.png</x:v>
      </x:c>
      <x:c r="F12" s="14" t="str">
        <x:v>5.3</x:v>
      </x:c>
      <x:c r="G12" s="14" t="str">
        <x:v>Planned</x:v>
      </x:c>
      <x:c r="H12" s="14" t="str">
        <x:v>Trace and notify flow</x:v>
      </x:c>
    </x:row>
    <x:row r="13">
      <x:c r="A13" s="14" t="str">
        <x:v>Fig-08</x:v>
      </x:c>
      <x:c r="B13" s="14" t="str">
        <x:v>Class Diagram</x:v>
      </x:c>
      <x:c r="C13" s="14" t="str">
        <x:v>StarUML</x:v>
      </x:c>
      <x:c r="D13" s="14" t="str">
        <x:v>coldchainrx.mdj</x:v>
      </x:c>
      <x:c r="E13" s="14" t="str">
        <x:v>Fig08_Class_Diagram.png</x:v>
      </x:c>
      <x:c r="F13" s="14" t="str">
        <x:v>5.4</x:v>
      </x:c>
      <x:c r="G13" s="14" t="str">
        <x:v>Planned</x:v>
      </x:c>
      <x:c r="H13" s="14" t="str">
        <x:v>Typed attributes, methods, multiplicities</x:v>
      </x:c>
    </x:row>
    <x:row r="14">
      <x:c r="A14" s="14" t="str">
        <x:v>Fig-09</x:v>
      </x:c>
      <x:c r="B14" s="14" t="str">
        <x:v>Sequence Diagram - Create Shipment</x:v>
      </x:c>
      <x:c r="C14" s="14" t="str">
        <x:v>StarUML</x:v>
      </x:c>
      <x:c r="D14" s="14" t="str">
        <x:v>coldchainrx.mdj</x:v>
      </x:c>
      <x:c r="E14" s="14" t="str">
        <x:v>Fig09_SD_Create_Shipment.png</x:v>
      </x:c>
      <x:c r="F14" s="14" t="str">
        <x:v>5.5</x:v>
      </x:c>
      <x:c r="G14" s="14" t="str">
        <x:v>Planned</x:v>
      </x:c>
      <x:c r="H14" s="14" t="str">
        <x:v>Lifelines match class diagram</x:v>
      </x:c>
    </x:row>
    <x:row r="15">
      <x:c r="A15" s="14" t="str">
        <x:v>Fig-10</x:v>
      </x:c>
      <x:c r="B15" s="14" t="str">
        <x:v>Sequence Diagram - Detect Breach</x:v>
      </x:c>
      <x:c r="C15" s="14" t="str">
        <x:v>StarUML</x:v>
      </x:c>
      <x:c r="D15" s="14" t="str">
        <x:v>coldchainrx.mdj</x:v>
      </x:c>
      <x:c r="E15" s="14" t="str">
        <x:v>Fig10_SD_Detect_Breach.png</x:v>
      </x:c>
      <x:c r="F15" s="14" t="str">
        <x:v>5.5</x:v>
      </x:c>
      <x:c r="G15" s="14" t="str">
        <x:v>Planned</x:v>
      </x:c>
      <x:c r="H15" s="14" t="str">
        <x:v>Includes alt fragment for breach/no breach</x:v>
      </x:c>
    </x:row>
    <x:row r="16">
      <x:c r="A16" s="14" t="str">
        <x:v>Fig-11</x:v>
      </x:c>
      <x:c r="B16" s="14" t="str">
        <x:v>Sequence Diagram - Receive Shipment</x:v>
      </x:c>
      <x:c r="C16" s="14" t="str">
        <x:v>StarUML</x:v>
      </x:c>
      <x:c r="D16" s="14" t="str">
        <x:v>coldchainrx.mdj</x:v>
      </x:c>
      <x:c r="E16" s="14" t="str">
        <x:v>Fig11_SD_Receive_Shipment.png</x:v>
      </x:c>
      <x:c r="F16" s="14" t="str">
        <x:v>5.5</x:v>
      </x:c>
      <x:c r="G16" s="14" t="str">
        <x:v>Planned</x:v>
      </x:c>
      <x:c r="H16" s="14" t="str">
        <x:v>Includes rejected/quarantined branch</x:v>
      </x:c>
    </x:row>
    <x:row r="17">
      <x:c r="A17" s="14" t="str">
        <x:v>Fig-12</x:v>
      </x:c>
      <x:c r="B17" s="14" t="str">
        <x:v>Sequence Diagram - Issue Recall</x:v>
      </x:c>
      <x:c r="C17" s="14" t="str">
        <x:v>StarUML</x:v>
      </x:c>
      <x:c r="D17" s="14" t="str">
        <x:v>coldchainrx.mdj</x:v>
      </x:c>
      <x:c r="E17" s="14" t="str">
        <x:v>Fig12_SD_Issue_Recall.png</x:v>
      </x:c>
      <x:c r="F17" s="14" t="str">
        <x:v>5.5</x:v>
      </x:c>
      <x:c r="G17" s="14" t="str">
        <x:v>Planned</x:v>
      </x:c>
      <x:c r="H17" s="14" t="str">
        <x:v>Includes loop over affected locations</x:v>
      </x:c>
    </x:row>
    <x:row r="18">
      <x:c r="A18" s="14" t="str">
        <x:v>Fig-13</x:v>
      </x:c>
      <x:c r="B18" s="14" t="str">
        <x:v>Gantt Chart</x:v>
      </x:c>
      <x:c r="C18" s="14" t="str">
        <x:v>Excel</x:v>
      </x:c>
      <x:c r="D18" s="14" t="str">
        <x:v>ColdChainRx_Planning_Package.xlsx</x:v>
      </x:c>
      <x:c r="E18" s="14" t="str">
        <x:v>Fig13_Gantt_Chart.png</x:v>
      </x:c>
      <x:c r="F18" s="14" t="str">
        <x:v>4.1</x:v>
      </x:c>
      <x:c r="G18" s="14" t="str">
        <x:v>Planned</x:v>
      </x:c>
      <x:c r="H18" s="14" t="str">
        <x:v>Screenshot from WBS_Gantt</x:v>
      </x:c>
    </x:row>
    <x:row r="19">
      <x:c r="A19" s="14" t="str">
        <x:v>Fig-14</x:v>
      </x:c>
      <x:c r="B19" s="14" t="str">
        <x:v>Risk Matrix</x:v>
      </x:c>
      <x:c r="C19" s="14" t="str">
        <x:v>Excel</x:v>
      </x:c>
      <x:c r="D19" s="14" t="str">
        <x:v>ColdChainRx_Planning_Package.xlsx</x:v>
      </x:c>
      <x:c r="E19" s="14" t="str">
        <x:v>Fig14_Risk_Matrix.png</x:v>
      </x:c>
      <x:c r="F19" s="14" t="str">
        <x:v>4.2</x:v>
      </x:c>
      <x:c r="G19" s="14" t="str">
        <x:v>Planned</x:v>
      </x:c>
      <x:c r="H19" s="14" t="str">
        <x:v>Screenshot from Risk_Matrix</x:v>
      </x:c>
    </x:row>
    <x:row r="20">
      <x:c r="A20" s="14" t="str">
        <x:v>Fig-15</x:v>
      </x:c>
      <x:c r="B20" s="14" t="str">
        <x:v>Login Screen</x:v>
      </x:c>
      <x:c r="C20" s="14" t="str">
        <x:v>HTML Prototype</x:v>
      </x:c>
      <x:c r="D20" s="14" t="str">
        <x:v>index.html</x:v>
      </x:c>
      <x:c r="E20" s="14" t="str">
        <x:v>Fig15_Login_Screen.png</x:v>
      </x:c>
      <x:c r="F20" s="14" t="str">
        <x:v>Prototype</x:v>
      </x:c>
      <x:c r="G20" s="14" t="str">
        <x:v>Planned</x:v>
      </x:c>
      <x:c r="H20" s="14" t="str">
        <x:v>Security entry point</x:v>
      </x:c>
    </x:row>
    <x:row r="21">
      <x:c r="A21" s="14" t="str">
        <x:v>Fig-16</x:v>
      </x:c>
      <x:c r="B21" s="14" t="str">
        <x:v>Dashboard Screen</x:v>
      </x:c>
      <x:c r="C21" s="14" t="str">
        <x:v>HTML Prototype</x:v>
      </x:c>
      <x:c r="D21" s="14" t="str">
        <x:v>index.html</x:v>
      </x:c>
      <x:c r="E21" s="14" t="str">
        <x:v>Fig16_Dashboard_Screen.png</x:v>
      </x:c>
      <x:c r="F21" s="14" t="str">
        <x:v>Prototype</x:v>
      </x:c>
      <x:c r="G21" s="14" t="str">
        <x:v>Planned</x:v>
      </x:c>
      <x:c r="H21" s="14" t="str">
        <x:v>KPIs and alert summary</x:v>
      </x:c>
    </x:row>
    <x:row r="22">
      <x:c r="A22" s="14" t="str">
        <x:v>Fig-17</x:v>
      </x:c>
      <x:c r="B22" s="14" t="str">
        <x:v>Shipment Tracking Screen</x:v>
      </x:c>
      <x:c r="C22" s="14" t="str">
        <x:v>HTML Prototype</x:v>
      </x:c>
      <x:c r="D22" s="14" t="str">
        <x:v>index.html</x:v>
      </x:c>
      <x:c r="E22" s="14" t="str">
        <x:v>Fig17_Tracking_Screen.png</x:v>
      </x:c>
      <x:c r="F22" s="14" t="str">
        <x:v>Prototype</x:v>
      </x:c>
      <x:c r="G22" s="14" t="str">
        <x:v>Planned</x:v>
      </x:c>
      <x:c r="H22" s="14" t="str">
        <x:v>Temperature timeline</x:v>
      </x:c>
    </x:row>
    <x:row r="23">
      <x:c r="A23" s="14" t="str">
        <x:v>Fig-18</x:v>
      </x:c>
      <x:c r="B23" s="14" t="str">
        <x:v>Temperature Breach Alert Screen</x:v>
      </x:c>
      <x:c r="C23" s="14" t="str">
        <x:v>HTML Prototype</x:v>
      </x:c>
      <x:c r="D23" s="14" t="str">
        <x:v>index.html</x:v>
      </x:c>
      <x:c r="E23" s="14" t="str">
        <x:v>Fig18_Breach_Alert_Screen.png</x:v>
      </x:c>
      <x:c r="F23" s="14" t="str">
        <x:v>Prototype</x:v>
      </x:c>
      <x:c r="G23" s="14" t="str">
        <x:v>Planned</x:v>
      </x:c>
      <x:c r="H23" s="14" t="str">
        <x:v>Critical workflow evidence</x:v>
      </x:c>
    </x:row>
    <x:row r="24">
      <x:c r="A24" s="14" t="str">
        <x:v>Fig-19</x:v>
      </x:c>
      <x:c r="B24" s="14" t="str">
        <x:v>Quarantine Review Screen</x:v>
      </x:c>
      <x:c r="C24" s="14" t="str">
        <x:v>HTML Prototype</x:v>
      </x:c>
      <x:c r="D24" s="14" t="str">
        <x:v>index.html</x:v>
      </x:c>
      <x:c r="E24" s="14" t="str">
        <x:v>Fig19_Quarantine_Review_Screen.png</x:v>
      </x:c>
      <x:c r="F24" s="14" t="str">
        <x:v>Prototype</x:v>
      </x:c>
      <x:c r="G24" s="14" t="str">
        <x:v>Planned</x:v>
      </x:c>
      <x:c r="H24" s="14" t="str">
        <x:v>QA decision screen</x:v>
      </x:c>
    </x:row>
    <x:row r="25">
      <x:c r="A25" s="14" t="str">
        <x:v>Fig-20</x:v>
      </x:c>
      <x:c r="B25" s="14" t="str">
        <x:v>Drug Recall Screen</x:v>
      </x:c>
      <x:c r="C25" s="14" t="str">
        <x:v>HTML Prototype</x:v>
      </x:c>
      <x:c r="D25" s="14" t="str">
        <x:v>index.html</x:v>
      </x:c>
      <x:c r="E25" s="14" t="str">
        <x:v>Fig20_Recall_Screen.png</x:v>
      </x:c>
      <x:c r="F25" s="14" t="str">
        <x:v>Prototype</x:v>
      </x:c>
      <x:c r="G25" s="14" t="str">
        <x:v>Planned</x:v>
      </x:c>
      <x:c r="H25" s="14" t="str">
        <x:v>Recall traceability evidence</x:v>
      </x:c>
    </x:row>
  </x:sheetData>
  <x:mergeCells>
    <x:mergeCell ref="A1:H1"/>
    <x:mergeCell ref="A3:H3"/>
  </x:mergeCells>
  <x:conditionalFormatting sqref="G6:G25">
    <x:cfRule type="expression" dxfId="23" priority="1">
      <x:formula>G6="Captured"</x:formula>
    </x:cfRule>
    <x:cfRule type="expression" dxfId="24" priority="2">
      <x:formula>G6="Inserted in Word"</x:formula>
    </x:cfRule>
    <x:cfRule type="expression" dxfId="25" priority="3">
      <x:formula>G6="Needs Redraw"</x:formula>
    </x:cfRule>
  </x:conditionalFormatting>
  <x:dataValidations count="1">
    <x:dataValidation type="list" sqref="G6:G25">
      <x:formula1>"Planned,Captured,Inserted in Word,Needs Redraw"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8cef66efb5407f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  <x:col min="8" max="8" width="34" hidden="0" customWidth="1"/>
    <x:col min="9" max="9" width="64" hidden="0" customWidth="1"/>
    <x:col min="10" max="10" width="42" hidden="0" customWidth="1"/>
  </x:cols>
  <x:sheetData>
    <x:row r="1" ht="28" customHeight="1">
      <x:c r="A1" s="94" t="str">
        <x:v>ColdChainRx Planning Package - Controlled Lists &amp; References</x:v>
      </x:c>
      <x:c r="B1" s="94"/>
      <x:c r="C1" s="94"/>
      <x:c r="D1" s="94"/>
      <x:c r="E1" s="94"/>
      <x:c r="F1" s="94"/>
    </x:row>
    <x:row r="2" ht="20" customHeight="1"/>
    <x:row r="3">
      <x:c r="A3" s="10" t="str">
        <x:v>Priority</x:v>
      </x:c>
      <x:c r="B3" s="10" t="str">
        <x:v>Status</x:v>
      </x:c>
      <x:c r="C3" s="10" t="str">
        <x:v>Risk Category</x:v>
      </x:c>
      <x:c r="D3" s="10" t="str">
        <x:v>Risk Rating</x:v>
      </x:c>
      <x:c r="E3" s="10" t="str">
        <x:v>Test Type</x:v>
      </x:c>
      <x:c r="F3" s="10" t="str">
        <x:v>Owners</x:v>
      </x:c>
      <x:c r="H3" s="10" t="str">
        <x:v>Source</x:v>
      </x:c>
      <x:c r="I3" s="10" t="str">
        <x:v>URL</x:v>
      </x:c>
      <x:c r="J3" s="10" t="str">
        <x:v>Use in project</x:v>
      </x:c>
    </x:row>
    <x:row r="4">
      <x:c r="A4" s="14" t="str">
        <x:v>Must</x:v>
      </x:c>
      <x:c r="B4" s="14" t="str">
        <x:v>Not Started</x:v>
      </x:c>
      <x:c r="C4" s="14" t="str">
        <x:v>Product</x:v>
      </x:c>
      <x:c r="D4" s="14" t="str">
        <x:v>Low</x:v>
      </x:c>
      <x:c r="E4" s="14" t="str">
        <x:v>Positive</x:v>
      </x:c>
      <x:c r="F4" s="14" t="str">
        <x:v>Member 1 - Requirements Lead</x:v>
      </x:c>
      <x:c r="H4" s="14" t="str">
        <x:v>CDC Vaccine Storage and Handling</x:v>
      </x:c>
      <x:c r="I4" s="14" t="str">
        <x:v>https://www.cdc.gov/vaccines/hcp/storage-handling/index.html</x:v>
      </x:c>
      <x:c r="J4" s="14" t="str">
        <x:v>Problem statement and cold-chain importance</x:v>
      </x:c>
    </x:row>
    <x:row r="5">
      <x:c r="A5" s="14" t="str">
        <x:v>Should</x:v>
      </x:c>
      <x:c r="B5" s="14" t="str">
        <x:v>In Progress</x:v>
      </x:c>
      <x:c r="C5" s="14" t="str">
        <x:v>Project</x:v>
      </x:c>
      <x:c r="D5" s="14" t="str">
        <x:v>Medium</x:v>
      </x:c>
      <x:c r="E5" s="14" t="str">
        <x:v>Negative</x:v>
      </x:c>
      <x:c r="F5" s="14" t="str">
        <x:v>Member 2 - UML/Design Lead</x:v>
      </x:c>
      <x:c r="H5" s="14" t="str">
        <x:v>WHO Technical Report Series 961 Annex 9</x:v>
      </x:c>
      <x:c r="I5" s="14" t="str">
        <x:v>https://www.who.int/publications/i/item/WHO-TRS-961</x:v>
      </x:c>
      <x:c r="J5" s="14" t="str">
        <x:v>Time and temperature sensitive pharmaceutical products</x:v>
      </x:c>
    </x:row>
    <x:row r="6">
      <x:c r="A6" s="14" t="str">
        <x:v>Could</x:v>
      </x:c>
      <x:c r="B6" s="14" t="str">
        <x:v>Ready for Review</x:v>
      </x:c>
      <x:c r="C6" s="14" t="str">
        <x:v>Business</x:v>
      </x:c>
      <x:c r="D6" s="14" t="str">
        <x:v>High</x:v>
      </x:c>
      <x:c r="E6" s="14" t="str">
        <x:v>Boundary</x:v>
      </x:c>
      <x:c r="F6" s="14" t="str">
        <x:v>Member 3 - Prototype/QA Lead</x:v>
      </x:c>
      <x:c r="H6" s="14" t="str">
        <x:v>WHO Good Storage and Distribution Practices</x:v>
      </x:c>
      <x:c r="I6" s="14" t="str">
        <x:v>https://www.who.int/publications/i/item/9789240014722</x:v>
      </x:c>
      <x:c r="J6" s="14" t="str">
        <x:v>GDP compliance background</x:v>
      </x:c>
    </x:row>
    <x:row r="7">
      <x:c r="A7" s="14" t="str">
        <x:v>Won't</x:v>
      </x:c>
      <x:c r="B7" s="14" t="str">
        <x:v>Completed</x:v>
      </x:c>
      <x:c r="C7" s="14"/>
      <x:c r="D7" s="14" t="str">
        <x:v>Critical</x:v>
      </x:c>
      <x:c r="E7" s="14" t="str">
        <x:v>Performance</x:v>
      </x:c>
      <x:c r="F7" s="14" t="str">
        <x:v>All Members</x:v>
      </x:c>
      <x:c r="H7" s="14" t="str">
        <x:v>EMA Good Distribution Practice</x:v>
      </x:c>
      <x:c r="I7" s="14" t="str">
        <x:v>https://www.ema.europa.eu/en/human-regulatory-overview/post-authorisation/compliance-post-authorisation/good-distribution-practice</x:v>
      </x:c>
      <x:c r="J7" s="14" t="str">
        <x:v>Regulatory constraints</x:v>
      </x:c>
    </x:row>
    <x:row r="8">
      <x:c r="A8" s="14"/>
      <x:c r="B8" s="14" t="str">
        <x:v>Deferred</x:v>
      </x:c>
      <x:c r="C8" s="14"/>
      <x:c r="D8" s="14"/>
      <x:c r="E8" s="14" t="str">
        <x:v>Security</x:v>
      </x:c>
      <x:c r="F8" s="14" t="str">
        <x:v>Instructor</x:v>
      </x:c>
      <x:c r="H8" s="14" t="str">
        <x:v>GS1 Healthcare Standards</x:v>
      </x:c>
      <x:c r="I8" s="14" t="str">
        <x:v>https://www.gs1.org/industries/healthcare/standards</x:v>
      </x:c>
      <x:c r="J8" s="14" t="str">
        <x:v>Batch/QR/traceability interface</x:v>
      </x:c>
    </x:row>
    <x:row r="9">
      <x:c r="A9" s="14"/>
      <x:c r="B9" s="14"/>
      <x:c r="C9" s="14"/>
      <x:c r="D9" s="14"/>
      <x:c r="E9" s="14" t="str">
        <x:v>Integration</x:v>
      </x:c>
      <x:c r="F9" s="14"/>
      <x:c r="H9" s="14" t="str">
        <x:v>OWASP Top 10</x:v>
      </x:c>
      <x:c r="I9" s="14" t="str">
        <x:v>https://owasp.org/Top10/</x:v>
      </x:c>
      <x:c r="J9" s="14" t="str">
        <x:v>Security NFRs and risk analysis</x:v>
      </x:c>
    </x:row>
    <x:row r="10">
      <x:c r="A10" s="14"/>
      <x:c r="B10" s="14"/>
      <x:c r="C10" s="14"/>
      <x:c r="D10" s="14"/>
      <x:c r="E10" s="14"/>
      <x:c r="F10" s="14"/>
      <x:c r="H10" s="14" t="str">
        <x:v>NIST Digital Identity Guidelines</x:v>
      </x:c>
      <x:c r="I10" s="14" t="str">
        <x:v>https://pages.nist.gov/800-63-3/</x:v>
      </x:c>
      <x:c r="J10" s="14" t="str">
        <x:v>Authentication controls</x:v>
      </x:c>
    </x:row>
    <x:row r="11">
      <x:c r="A11" s="14"/>
      <x:c r="B11" s="14"/>
      <x:c r="C11" s="14"/>
      <x:c r="D11" s="14"/>
      <x:c r="E11" s="14"/>
      <x:c r="F11" s="14"/>
      <x:c r="H11" s="14" t="str">
        <x:v>OMG UML Specification</x:v>
      </x:c>
      <x:c r="I11" s="14" t="str">
        <x:v>https://www.omg.org/spec/UML/</x:v>
      </x:c>
      <x:c r="J11" s="14" t="str">
        <x:v>UML notation reference</x:v>
      </x:c>
    </x:row>
    <x:row r="12">
      <x:c r="A12" s="14"/>
      <x:c r="B12" s="14"/>
      <x:c r="C12" s="14"/>
      <x:c r="D12" s="14"/>
      <x:c r="E12" s="14"/>
      <x:c r="F12" s="14"/>
      <x:c r="H12" s="14"/>
      <x:c r="I12" s="14"/>
      <x:c r="J12" s="14"/>
    </x:row>
    <x:row r="13">
      <x:c r="A13" s="14"/>
      <x:c r="B13" s="14"/>
      <x:c r="C13" s="14"/>
      <x:c r="D13" s="14"/>
      <x:c r="E13" s="14"/>
      <x:c r="F13" s="14"/>
      <x:c r="H13" s="14"/>
      <x:c r="I13" s="14"/>
      <x:c r="J13" s="14"/>
    </x:row>
    <x:row r="14">
      <x:c r="A14" s="14"/>
      <x:c r="B14" s="14"/>
      <x:c r="C14" s="14"/>
      <x:c r="D14" s="14"/>
      <x:c r="E14" s="14"/>
      <x:c r="F14" s="14"/>
      <x:c r="H14" s="14"/>
      <x:c r="I14" s="14"/>
      <x:c r="J14" s="14"/>
    </x:row>
    <x:row r="15">
      <x:c r="A15" s="14"/>
      <x:c r="B15" s="14"/>
      <x:c r="C15" s="14"/>
      <x:c r="D15" s="14"/>
      <x:c r="E15" s="14"/>
      <x:c r="F15" s="14"/>
      <x:c r="H15" s="14"/>
      <x:c r="I15" s="14"/>
      <x:c r="J15" s="14"/>
    </x:row>
    <x:row r="16">
      <x:c r="A16" s="14"/>
      <x:c r="B16" s="14"/>
      <x:c r="C16" s="14"/>
      <x:c r="D16" s="14"/>
      <x:c r="E16" s="14"/>
      <x:c r="F16" s="14"/>
      <x:c r="H16" s="14"/>
      <x:c r="I16" s="14"/>
      <x:c r="J16" s="14"/>
    </x:row>
    <x:row r="17">
      <x:c r="A17" s="14"/>
      <x:c r="B17" s="14"/>
      <x:c r="C17" s="14"/>
      <x:c r="D17" s="14"/>
      <x:c r="E17" s="14"/>
      <x:c r="F17" s="14"/>
      <x:c r="H17" s="14"/>
      <x:c r="I17" s="14"/>
      <x:c r="J17" s="14"/>
    </x:row>
    <x:row r="18">
      <x:c r="A18" s="14"/>
      <x:c r="B18" s="14"/>
      <x:c r="C18" s="14"/>
      <x:c r="D18" s="14"/>
      <x:c r="E18" s="14"/>
      <x:c r="F18" s="14"/>
      <x:c r="H18" s="14"/>
      <x:c r="I18" s="14"/>
      <x:c r="J18" s="14"/>
    </x:row>
    <x:row r="19">
      <x:c r="A19" s="14"/>
      <x:c r="B19" s="14"/>
      <x:c r="C19" s="14"/>
      <x:c r="D19" s="14"/>
      <x:c r="E19" s="14"/>
      <x:c r="F19" s="14"/>
      <x:c r="H19" s="14"/>
      <x:c r="I19" s="14"/>
      <x:c r="J19" s="14"/>
    </x:row>
    <x:row r="20">
      <x:c r="A20" s="14"/>
      <x:c r="B20" s="14"/>
      <x:c r="C20" s="14"/>
      <x:c r="D20" s="14"/>
      <x:c r="E20" s="14"/>
      <x:c r="F20" s="14"/>
      <x:c r="H20" s="14"/>
      <x:c r="I20" s="14"/>
      <x:c r="J20" s="14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e9616798ccd24941"/>
  </x:tableParts>
</x:worksheet>
</file>